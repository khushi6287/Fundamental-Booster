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activeTab="2"/>
  </bookViews>
  <sheets>
    <sheet name="Project Instructions" sheetId="1" r:id="rId1"/>
    <sheet name="Students Grade" sheetId="2" r:id="rId2"/>
    <sheet name="Sales Data" sheetId="3" r:id="rId3"/>
    <sheet name="Employee Data" sheetId="4" r:id="rId4"/>
    <sheet name="Lookup Refere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<sst xmlns="http://schemas.openxmlformats.org/spreadsheetml/2006/main" count="274" uniqueCount="212">
  <si>
    <t>PR. 1 Fundamental Booster</t>
  </si>
  <si>
    <t>Topics: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
Main Tasks: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
Deliverable:
Complete the given worksheets by applying the required formulas in respective sheets.</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</si>
  <si>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</si>
  <si>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</si>
  <si>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</si>
  <si>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</si>
  <si>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</si>
  <si>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</si>
  <si>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</si>
  <si>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</si>
  <si>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</si>
  <si>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</si>
  <si>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</si>
  <si>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</si>
  <si>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</si>
  <si>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</si>
  <si>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</si>
  <si>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</si>
  <si>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</si>
  <si>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</si>
  <si>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</si>
  <si>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</si>
  <si>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</si>
  <si>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</si>
  <si>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</si>
  <si>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</si>
  <si>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</si>
  <si>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</si>
  <si>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</si>
  <si>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</si>
  <si>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</si>
  <si>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</si>
  <si>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</si>
  <si>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</si>
  <si>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</si>
  <si>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</si>
  <si>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</si>
  <si>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</si>
  <si>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</si>
  <si>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</si>
  <si>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</si>
  <si>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</si>
  <si>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</si>
  <si>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</si>
  <si>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</si>
  <si>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</si>
  <si>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</si>
  <si>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Average Score</t>
  </si>
  <si>
    <t>Grade</t>
  </si>
  <si>
    <t>Above 80 in Math &amp; Science</t>
  </si>
  <si>
    <t>Score &gt;80 in both Math &amp; Science</t>
  </si>
  <si>
    <t>Pass/Fail</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</si>
  <si>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</si>
  <si>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</si>
  <si>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</si>
  <si>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</si>
  <si>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</si>
  <si>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</si>
  <si>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</si>
  <si>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</si>
  <si>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</si>
  <si>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</si>
  <si>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</si>
  <si>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</si>
  <si>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</si>
  <si>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</si>
  <si>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</si>
  <si>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</si>
  <si>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</si>
  <si>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</si>
  <si>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</si>
  <si>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</si>
  <si>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COUNTIFS / SUMIFS / AVERAGEIFS</t>
  </si>
  <si>
    <t>Count: Students with Math &gt; 60</t>
  </si>
  <si>
    <t>Count: Students with Science &gt; 60</t>
  </si>
  <si>
    <t>Count: Students with English &gt; 60</t>
  </si>
  <si>
    <t>Count students with all subjects &gt;60</t>
  </si>
  <si>
    <t>Count: Students with Average &gt; 60</t>
  </si>
  <si>
    <t>Average Score (Students with Avg &gt; 60)</t>
  </si>
  <si>
    <t>Count: High Performers (Math &amp; Science &gt; 80)</t>
  </si>
  <si>
    <t>Total Students Passed</t>
  </si>
  <si>
    <t>Total Students Failed</t>
  </si>
  <si>
    <t>Count of students scoring above 50 in Math:</t>
  </si>
  <si>
    <t>LOOKUP FUNCTIONS (VLOOKUP / XLOOKUP / XMATCH)</t>
  </si>
  <si>
    <t>Enter Student ID:</t>
  </si>
  <si>
    <t>1005</t>
  </si>
  <si>
    <t>Student Name:</t>
  </si>
  <si>
    <t>Math Score:</t>
  </si>
  <si>
    <t>Students with Average Grade &gt; 80 (using FILTER):</t>
  </si>
  <si>
    <t>Sales ID</t>
  </si>
  <si>
    <t>Product</t>
  </si>
  <si>
    <t>Region</t>
  </si>
  <si>
    <t>Salesperson</t>
  </si>
  <si>
    <t>Amount</t>
  </si>
  <si>
    <t>Date</t>
  </si>
  <si>
    <t>Discount %</t>
  </si>
  <si>
    <t>Discount Eligible</t>
  </si>
  <si>
    <t>Final Amount</t>
  </si>
  <si>
    <t>Month</t>
  </si>
  <si>
    <t>Quarter</t>
  </si>
  <si>
    <t>Sales Year</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</si>
  <si>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</si>
  <si>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</si>
  <si>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</si>
  <si>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</si>
  <si>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</si>
  <si>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</si>
  <si>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</si>
  <si>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</si>
  <si>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</si>
  <si>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</si>
  <si>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</si>
  <si>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</si>
  <si>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</si>
  <si>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</si>
  <si>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</si>
  <si>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</si>
  <si>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</si>
  <si>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</si>
  <si>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</si>
  <si>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</si>
  <si>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</si>
  <si>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</si>
  <si>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</si>
  <si>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</si>
  <si>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</si>
  <si>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</si>
  <si>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</si>
  <si>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</si>
  <si>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</si>
  <si>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Total Sales (All)</t>
  </si>
  <si>
    <t>Total Sales (South Region)</t>
  </si>
  <si>
    <t>Total Sales (Keyboard Product)</t>
  </si>
  <si>
    <t>Total Sales (South Region, Mouse Product)</t>
  </si>
  <si>
    <t>Average Sales (Amount &gt; 30000)</t>
  </si>
  <si>
    <t>Count: Sales &gt; 30000</t>
  </si>
  <si>
    <t>Count: Discount Eligible Sales</t>
  </si>
  <si>
    <t>Total Sales for East Region - Laptop:</t>
  </si>
  <si>
    <t>Average Sales Amount for North Region:</t>
  </si>
  <si>
    <t>VLOOKUP Examples:</t>
  </si>
  <si>
    <t>Find Amount for Sales ID 2010:</t>
  </si>
  <si>
    <t>Find Product for Sales ID 2020:</t>
  </si>
  <si>
    <t>INDEX/MATCH Examples:</t>
  </si>
  <si>
    <t>Find Amount for Person 5:</t>
  </si>
  <si>
    <t>XMATCH</t>
  </si>
  <si>
    <t xml:space="preserve"> Position of Laptop in Product list:</t>
  </si>
  <si>
    <t>Employee ID</t>
  </si>
  <si>
    <t>Department</t>
  </si>
  <si>
    <t>Salary</t>
  </si>
  <si>
    <t>Joining Date</t>
  </si>
  <si>
    <t>Years of Service</t>
  </si>
  <si>
    <t>Joining Year</t>
  </si>
  <si>
    <t>Joining Month</t>
  </si>
  <si>
    <t>Days Since Joining</t>
  </si>
  <si>
    <t>Salary Band</t>
  </si>
  <si>
    <t>Bonus Eligible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</si>
  <si>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</si>
  <si>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</si>
  <si>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</si>
  <si>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</si>
  <si>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</si>
  <si>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</si>
  <si>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</si>
  <si>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</si>
  <si>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</si>
  <si>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</si>
  <si>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</si>
  <si>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</si>
  <si>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</si>
  <si>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</si>
  <si>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</si>
  <si>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</si>
  <si>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</si>
  <si>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</si>
  <si>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</si>
  <si>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</si>
  <si>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</si>
  <si>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</si>
  <si>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</si>
  <si>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</si>
  <si>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XLOOKUP</t>
  </si>
  <si>
    <t>Find Salary for Employee 3010:</t>
  </si>
  <si>
    <t>Find Department for Employee 3015:</t>
  </si>
  <si>
    <t>Average Salary by Department:</t>
  </si>
  <si>
    <t>Finance Average:</t>
  </si>
  <si>
    <t>IT Average:</t>
  </si>
  <si>
    <t>HR Average:</t>
  </si>
  <si>
    <t>Marketing Average:</t>
  </si>
  <si>
    <t>Count by Department:</t>
  </si>
  <si>
    <t>Finance Count:</t>
  </si>
  <si>
    <t>IT Count:</t>
  </si>
  <si>
    <t>TEXT Function Examples:</t>
  </si>
  <si>
    <t>First Employee Name in UPPERCASE:</t>
  </si>
  <si>
    <t>First Employee Name in lowercase:</t>
  </si>
  <si>
    <t>INDIRECT Reference to D2:</t>
  </si>
  <si>
    <t>Math Functions Examples:</t>
  </si>
  <si>
    <t>First Salary ROUNDED to nearest 1000:</t>
  </si>
  <si>
    <t>First Salary CEILING to 5000:</t>
  </si>
  <si>
    <t>First Salary FLOOR to 1000:</t>
  </si>
  <si>
    <t>Employees with Salary &gt; 100000 (FILTER):</t>
  </si>
  <si>
    <t>Product Code</t>
  </si>
  <si>
    <t>Product Name</t>
  </si>
  <si>
    <t>Unit Price</t>
  </si>
  <si>
    <t>VLOOKUP Practice</t>
  </si>
  <si>
    <t>P001</t>
  </si>
  <si>
    <t>Enter Product Code:</t>
  </si>
  <si>
    <t>P003</t>
  </si>
  <si>
    <t>P002</t>
  </si>
  <si>
    <t>Product Name:</t>
  </si>
  <si>
    <t>Unit Price:</t>
  </si>
  <si>
    <t>P004</t>
  </si>
  <si>
    <t>P005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</si>
</sst>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32">
    <font>
      <sz val="11"/>
      <color theme="1"/>
      <name val="Calibri"/>
      <charset val="134"/>
      <scheme val="minor"/>
    </font>
    <font>
      <b/>
      <sz val="11"/>
      <name val="Calibri"/>
      <charset val="134"/>
      <scheme val="minor"/>
    </font>
    <font>
      <b/>
      <sz val="11"/>
      <color rgb="FF000000"/>
      <name val="Calibri"/>
      <charset val="134"/>
    </font>
    <font>
      <b/>
      <sz val="11"/>
      <color theme="1"/>
      <name val="Calibri"/>
      <charset val="134"/>
      <scheme val="minor"/>
    </font>
    <font>
      <sz val="11"/>
      <color rgb="FF000000"/>
      <name val="Calibri"/>
      <charset val="134"/>
    </font>
    <font>
      <b/>
      <sz val="12"/>
      <name val="Calibri"/>
      <charset val="134"/>
      <scheme val="minor"/>
    </font>
    <font>
      <b/>
      <sz val="11"/>
      <color theme="3"/>
      <name val="Calibri"/>
      <charset val="134"/>
      <scheme val="minor"/>
    </font>
    <font>
      <b/>
      <sz val="14"/>
      <color theme="1"/>
      <name val="Calibri"/>
      <charset val="134"/>
      <scheme val="minor"/>
    </font>
    <font>
      <sz val="11"/>
      <color theme="3"/>
      <name val="Calibri"/>
      <charset val="134"/>
      <scheme val="minor"/>
    </font>
    <font>
      <b/>
      <sz val="10"/>
      <color theme="1"/>
      <name val="Calibri"/>
      <charset val="134"/>
      <scheme val="minor"/>
    </font>
    <font>
      <sz val="10"/>
      <color theme="1"/>
      <name val="Calibri"/>
      <charset val="134"/>
      <scheme val="minor"/>
    </font>
    <font>
      <b/>
      <sz val="14"/>
      <name val="Calibri"/>
      <charset val="134"/>
      <scheme val="minor"/>
    </font>
    <font>
      <sz val="9.85"/>
      <color rgb="FF0F1115"/>
      <name val="Consolas"/>
      <charset val="134"/>
    </font>
    <font>
      <b/>
      <sz val="11"/>
      <color rgb="FF000000"/>
      <name val="Calibri, sans-serif"/>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CCE5FF"/>
        <bgColor rgb="FFCCE5FF"/>
      </patternFill>
    </fill>
    <fill>
      <patternFill patternType="solid">
        <fgColor rgb="FFFFF2CC"/>
        <bgColor rgb="FFFFF2CC"/>
      </patternFill>
    </fill>
    <fill>
      <patternFill patternType="solid">
        <fgColor rgb="FFFFC000"/>
        <bgColor indexed="64"/>
      </patternFill>
    </fill>
    <fill>
      <patternFill patternType="solid">
        <fgColor rgb="FFFFC000"/>
        <bgColor rgb="FF4472C4"/>
      </patternFill>
    </fill>
    <fill>
      <patternFill patternType="solid">
        <fgColor theme="2"/>
        <bgColor indexed="64"/>
      </patternFill>
    </fill>
    <fill>
      <patternFill patternType="solid">
        <fgColor rgb="FFFFC000"/>
        <bgColor rgb="FFFFF2CC"/>
      </patternFill>
    </fill>
    <fill>
      <patternFill patternType="solid">
        <fgColor theme="0"/>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9" borderId="9">
      <alignment vertical="center"/>
    </xf>
    <xf numFmtId="0" fontId="16" fillId="0" borderId="0">
      <alignment vertical="center"/>
    </xf>
    <xf numFmtId="0" fontId="17" fillId="0" borderId="0">
      <alignment vertical="center"/>
    </xf>
    <xf numFmtId="0" fontId="18" fillId="0" borderId="0">
      <alignment vertical="center"/>
    </xf>
    <xf numFmtId="0" fontId="19" fillId="0" borderId="10">
      <alignment vertical="center"/>
    </xf>
    <xf numFmtId="0" fontId="20" fillId="0" borderId="10">
      <alignment vertical="center"/>
    </xf>
    <xf numFmtId="0" fontId="6" fillId="0" borderId="11">
      <alignment vertical="center"/>
    </xf>
    <xf numFmtId="0" fontId="6" fillId="0" borderId="0">
      <alignment vertical="center"/>
    </xf>
    <xf numFmtId="0" fontId="21" fillId="10" borderId="12">
      <alignment vertical="center"/>
    </xf>
    <xf numFmtId="0" fontId="22" fillId="11" borderId="13">
      <alignment vertical="center"/>
    </xf>
    <xf numFmtId="0" fontId="23" fillId="11" borderId="12">
      <alignment vertical="center"/>
    </xf>
    <xf numFmtId="0" fontId="24" fillId="12" borderId="14">
      <alignment vertical="center"/>
    </xf>
    <xf numFmtId="0" fontId="25" fillId="0" borderId="15">
      <alignment vertical="center"/>
    </xf>
    <xf numFmtId="0" fontId="26" fillId="0" borderId="16">
      <alignment vertical="center"/>
    </xf>
    <xf numFmtId="0" fontId="27" fillId="13" borderId="0">
      <alignment vertical="center"/>
    </xf>
    <xf numFmtId="0" fontId="28" fillId="14" borderId="0">
      <alignment vertical="center"/>
    </xf>
    <xf numFmtId="0" fontId="29" fillId="15" borderId="0">
      <alignment vertical="center"/>
    </xf>
    <xf numFmtId="0" fontId="30" fillId="16" borderId="0">
      <alignment vertical="center"/>
    </xf>
    <xf numFmtId="0" fontId="31" fillId="17" borderId="0">
      <alignment vertical="center"/>
    </xf>
    <xf numFmtId="0" fontId="31" fillId="18" borderId="0">
      <alignment vertical="center"/>
    </xf>
    <xf numFmtId="0" fontId="30" fillId="19" borderId="0">
      <alignment vertical="center"/>
    </xf>
    <xf numFmtId="0" fontId="30" fillId="20" borderId="0">
      <alignment vertical="center"/>
    </xf>
    <xf numFmtId="0" fontId="31" fillId="21" borderId="0">
      <alignment vertical="center"/>
    </xf>
    <xf numFmtId="0" fontId="31" fillId="22" borderId="0">
      <alignment vertical="center"/>
    </xf>
    <xf numFmtId="0" fontId="30" fillId="23" borderId="0">
      <alignment vertical="center"/>
    </xf>
    <xf numFmtId="0" fontId="30" fillId="24" borderId="0">
      <alignment vertical="center"/>
    </xf>
    <xf numFmtId="0" fontId="31" fillId="25" borderId="0">
      <alignment vertical="center"/>
    </xf>
    <xf numFmtId="0" fontId="31" fillId="26" borderId="0">
      <alignment vertical="center"/>
    </xf>
    <xf numFmtId="0" fontId="30" fillId="27" borderId="0">
      <alignment vertical="center"/>
    </xf>
    <xf numFmtId="0" fontId="30" fillId="28" borderId="0">
      <alignment vertical="center"/>
    </xf>
    <xf numFmtId="0" fontId="31" fillId="29" borderId="0">
      <alignment vertical="center"/>
    </xf>
    <xf numFmtId="0" fontId="31" fillId="30" borderId="0">
      <alignment vertical="center"/>
    </xf>
    <xf numFmtId="0" fontId="30" fillId="31" borderId="0">
      <alignment vertical="center"/>
    </xf>
    <xf numFmtId="0" fontId="30" fillId="32" borderId="0">
      <alignment vertical="center"/>
    </xf>
    <xf numFmtId="0" fontId="31" fillId="33" borderId="0">
      <alignment vertical="center"/>
    </xf>
    <xf numFmtId="0" fontId="31" fillId="34" borderId="0">
      <alignment vertical="center"/>
    </xf>
    <xf numFmtId="0" fontId="30" fillId="35" borderId="0">
      <alignment vertical="center"/>
    </xf>
    <xf numFmtId="0" fontId="30" fillId="36" borderId="0">
      <alignment vertical="center"/>
    </xf>
    <xf numFmtId="0" fontId="31" fillId="37" borderId="0">
      <alignment vertical="center"/>
    </xf>
    <xf numFmtId="0" fontId="31" fillId="38" borderId="0">
      <alignment vertical="center"/>
    </xf>
    <xf numFmtId="0" fontId="30" fillId="39" borderId="0">
      <alignment vertical="center"/>
    </xf>
  </cellStyleXfs>
  <cellXfs count="48">
    <xf numFmtId="0" fontId="0" fillId="0" borderId="0" xfId="0"/>
    <xf numFmtId="0" fontId="1" fillId="2" borderId="0" xfId="0" applyFont="1" applyFill="1"/>
    <xf numFmtId="0" fontId="1" fillId="0" borderId="0" xfId="0" applyFont="1"/>
    <xf numFmtId="0" fontId="2"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4" fillId="0" borderId="1" xfId="0" applyFont="1" applyBorder="1" applyAlignment="1">
      <alignment horizontal="center" vertical="center"/>
    </xf>
    <xf numFmtId="178" fontId="4" fillId="0" borderId="1" xfId="0" applyNumberFormat="1"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1" fillId="4" borderId="3" xfId="0" applyFont="1" applyFill="1" applyBorder="1" applyAlignment="1">
      <alignment horizontal="center" vertical="center"/>
    </xf>
    <xf numFmtId="0" fontId="3" fillId="0" borderId="3" xfId="0" applyFont="1" applyBorder="1" applyAlignment="1">
      <alignment horizontal="center" vertical="center"/>
    </xf>
    <xf numFmtId="0" fontId="1" fillId="0" borderId="0" xfId="0" applyFont="1" applyAlignment="1">
      <alignment vertical="center"/>
    </xf>
    <xf numFmtId="0" fontId="0" fillId="0" borderId="3" xfId="0" applyBorder="1" applyAlignment="1">
      <alignment horizontal="center"/>
    </xf>
    <xf numFmtId="0" fontId="0" fillId="4" borderId="3" xfId="0" applyFill="1" applyBorder="1"/>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0" fillId="4" borderId="3" xfId="0" applyFill="1" applyBorder="1" applyAlignment="1">
      <alignment vertical="center"/>
    </xf>
    <xf numFmtId="0" fontId="7" fillId="4" borderId="3" xfId="0" applyFont="1" applyFill="1" applyBorder="1" applyAlignment="1"/>
    <xf numFmtId="0" fontId="3" fillId="6" borderId="3" xfId="0" applyFont="1" applyFill="1" applyBorder="1" applyAlignment="1">
      <alignment horizontal="center" vertical="center"/>
    </xf>
    <xf numFmtId="0" fontId="0" fillId="6" borderId="4" xfId="0" applyFill="1" applyBorder="1"/>
    <xf numFmtId="0" fontId="0" fillId="6" borderId="5" xfId="0" applyFill="1" applyBorder="1"/>
    <xf numFmtId="0" fontId="8" fillId="0" borderId="3" xfId="0" applyNumberFormat="1" applyFont="1" applyBorder="1" applyAlignment="1">
      <alignment horizontal="center" vertical="center"/>
    </xf>
    <xf numFmtId="0" fontId="8" fillId="0" borderId="3" xfId="0" applyFont="1" applyBorder="1" applyAlignment="1">
      <alignment horizontal="center" vertical="center"/>
    </xf>
    <xf numFmtId="0" fontId="9" fillId="6" borderId="3" xfId="0" applyFont="1" applyFill="1" applyBorder="1" applyAlignment="1">
      <alignment horizontal="center" vertical="center"/>
    </xf>
    <xf numFmtId="0" fontId="10" fillId="6" borderId="3" xfId="0" applyFont="1" applyFill="1" applyBorder="1" applyAlignment="1">
      <alignment horizontal="center" vertical="center"/>
    </xf>
    <xf numFmtId="0" fontId="11" fillId="4" borderId="3"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2" fillId="7" borderId="1"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7" fillId="4" borderId="3" xfId="0" applyFont="1" applyFill="1" applyBorder="1" applyAlignment="1">
      <alignment horizontal="center"/>
    </xf>
    <xf numFmtId="0" fontId="3" fillId="6" borderId="3" xfId="0" applyFont="1" applyFill="1" applyBorder="1"/>
    <xf numFmtId="0" fontId="3" fillId="6" borderId="3" xfId="0" applyFont="1" applyFill="1" applyBorder="1" applyAlignment="1">
      <alignment horizontal="center"/>
    </xf>
    <xf numFmtId="0" fontId="0" fillId="0" borderId="3" xfId="0" applyBorder="1" applyAlignment="1">
      <alignment horizontal="center" vertical="top"/>
    </xf>
    <xf numFmtId="0" fontId="7" fillId="4" borderId="0" xfId="0" applyFont="1" applyFill="1" applyAlignment="1">
      <alignment horizontal="center"/>
    </xf>
    <xf numFmtId="0" fontId="0" fillId="8" borderId="3" xfId="0" applyFill="1" applyBorder="1" applyAlignment="1">
      <alignment horizontal="center" vertical="center"/>
    </xf>
    <xf numFmtId="0" fontId="0" fillId="0" borderId="3" xfId="0" applyBorder="1"/>
    <xf numFmtId="0" fontId="12" fillId="0" borderId="0" xfId="0" applyFont="1"/>
    <xf numFmtId="0" fontId="3" fillId="3" borderId="1" xfId="0" applyFont="1" applyFill="1" applyBorder="1" applyAlignment="1">
      <alignment horizontal="center" vertical="center"/>
    </xf>
    <xf numFmtId="0" fontId="0" fillId="0" borderId="0" xfId="0" applyAlignment="1">
      <alignment vertical="center"/>
    </xf>
    <xf numFmtId="0" fontId="13" fillId="0" borderId="1" xfId="0" applyFont="1" applyBorder="1" applyAlignment="1">
      <alignment vertical="center" wrapText="1"/>
    </xf>
    <xf numFmtId="0" fontId="3" fillId="0" borderId="1" xfId="0" applyFont="1" applyBorder="1" applyAlignment="1">
      <alignment vertical="center"/>
    </xf>
    <xf numFmtId="0" fontId="0" fillId="0" borderId="1" xfId="0"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77"/>
  <sheetViews>
    <sheetView zoomScale="88" zoomScaleNormal="88" workbookViewId="0">
      <selection activeCell="F4" sqref="F4"/>
    </sheetView>
  </sheetViews>
  <sheetFormatPr defaultColWidth="14.4259259259259" defaultRowHeight="15" customHeight="1"/>
  <cols>
    <col min="1" max="1" width="75.4259259259259" customWidth="1"/>
  </cols>
  <sheetData>
    <row r="1" customHeight="1" spans="1:26">
      <c r="A1" s="43" t="s">
        <v>0</v>
      </c>
      <c r="B1" s="44"/>
      <c r="C1" s="44"/>
      <c r="D1" s="44"/>
      <c r="E1" s="44"/>
      <c r="F1" s="44"/>
      <c r="G1" s="44"/>
      <c r="H1" s="44"/>
      <c r="I1" s="44"/>
      <c r="J1" s="44"/>
      <c r="K1" s="44"/>
      <c r="L1" s="44"/>
      <c r="M1" s="44"/>
      <c r="N1" s="44"/>
      <c r="O1" s="44"/>
      <c r="P1" s="44"/>
      <c r="Q1" s="44"/>
      <c r="R1" s="44"/>
      <c r="S1" s="44"/>
      <c r="T1" s="44"/>
      <c r="U1" s="44"/>
      <c r="V1" s="44"/>
      <c r="W1" s="44"/>
      <c r="X1" s="44"/>
      <c r="Y1" s="44"/>
      <c r="Z1" s="44"/>
    </row>
    <row r="2" customHeight="1" spans="1:26">
      <c r="A2" s="45" t="s">
        <v>1</v>
      </c>
      <c r="B2" s="44"/>
      <c r="C2" s="44"/>
      <c r="D2" s="44"/>
      <c r="E2" s="44"/>
      <c r="F2" s="44"/>
      <c r="G2" s="44"/>
      <c r="H2" s="44"/>
      <c r="I2" s="44"/>
      <c r="J2" s="44"/>
      <c r="K2" s="44"/>
      <c r="L2" s="44"/>
      <c r="M2" s="44"/>
      <c r="N2" s="44"/>
      <c r="O2" s="44"/>
      <c r="P2" s="44"/>
      <c r="Q2" s="44"/>
      <c r="R2" s="44"/>
      <c r="S2" s="44"/>
      <c r="T2" s="44"/>
      <c r="U2" s="44"/>
      <c r="V2" s="44"/>
      <c r="W2" s="44"/>
      <c r="X2" s="44"/>
      <c r="Y2" s="44"/>
      <c r="Z2" s="44"/>
    </row>
    <row r="3" customHeight="1" spans="1:26">
      <c r="A3" s="44"/>
      <c r="B3" s="44"/>
      <c r="C3" s="44"/>
      <c r="D3" s="44"/>
      <c r="E3" s="44"/>
      <c r="F3" s="44"/>
      <c r="G3" s="44"/>
      <c r="H3" s="44"/>
      <c r="I3" s="44"/>
      <c r="J3" s="44"/>
      <c r="K3" s="44"/>
      <c r="L3" s="44"/>
      <c r="M3" s="44"/>
      <c r="N3" s="44"/>
      <c r="O3" s="44"/>
      <c r="P3" s="44"/>
      <c r="Q3" s="44"/>
      <c r="R3" s="44"/>
      <c r="S3" s="44"/>
      <c r="T3" s="44"/>
      <c r="U3" s="44"/>
      <c r="V3" s="44"/>
      <c r="W3" s="44"/>
      <c r="X3" s="44"/>
      <c r="Y3" s="44"/>
      <c r="Z3" s="44"/>
    </row>
    <row r="4" customHeight="1" spans="1:26">
      <c r="A4" s="44"/>
      <c r="B4" s="44"/>
      <c r="C4" s="44"/>
      <c r="D4" s="44"/>
      <c r="E4" s="44"/>
      <c r="F4" s="44"/>
      <c r="G4" s="44"/>
      <c r="H4" s="44"/>
      <c r="I4" s="44"/>
      <c r="J4" s="44"/>
      <c r="K4" s="44"/>
      <c r="L4" s="44"/>
      <c r="M4" s="44"/>
      <c r="N4" s="44"/>
      <c r="O4" s="44"/>
      <c r="P4" s="44"/>
      <c r="Q4" s="44"/>
      <c r="R4" s="44"/>
      <c r="S4" s="44"/>
      <c r="T4" s="44"/>
      <c r="U4" s="44"/>
      <c r="V4" s="44"/>
      <c r="W4" s="44"/>
      <c r="X4" s="44"/>
      <c r="Y4" s="44"/>
      <c r="Z4" s="44"/>
    </row>
    <row r="5" customHeight="1" spans="1:26">
      <c r="A5" s="43" t="s">
        <v>2</v>
      </c>
      <c r="B5" s="44"/>
      <c r="C5" s="44"/>
      <c r="D5" s="44"/>
      <c r="E5" s="44"/>
      <c r="F5" s="44"/>
      <c r="G5" s="44"/>
      <c r="H5" s="44"/>
      <c r="I5" s="44"/>
      <c r="J5" s="44"/>
      <c r="K5" s="44"/>
      <c r="L5" s="44"/>
      <c r="M5" s="44"/>
      <c r="N5" s="44"/>
      <c r="O5" s="44"/>
      <c r="P5" s="44"/>
      <c r="Q5" s="44"/>
      <c r="R5" s="44"/>
      <c r="S5" s="44"/>
      <c r="T5" s="44"/>
      <c r="U5" s="44"/>
      <c r="V5" s="44"/>
      <c r="W5" s="44"/>
      <c r="X5" s="44"/>
      <c r="Y5" s="44"/>
      <c r="Z5" s="44"/>
    </row>
    <row r="6" customHeight="1" spans="1:26">
      <c r="A6" s="46" t="s">
        <v>3</v>
      </c>
      <c r="B6" s="44"/>
      <c r="C6" s="44"/>
      <c r="D6" s="44"/>
      <c r="E6" s="44"/>
      <c r="F6" s="44"/>
      <c r="G6" s="44"/>
      <c r="H6" s="44"/>
      <c r="I6" s="44"/>
      <c r="J6" s="44"/>
      <c r="K6" s="44"/>
      <c r="L6" s="44"/>
      <c r="M6" s="44"/>
      <c r="N6" s="44"/>
      <c r="O6" s="44"/>
      <c r="P6" s="44"/>
      <c r="Q6" s="44"/>
      <c r="R6" s="44"/>
      <c r="S6" s="44"/>
      <c r="T6" s="44"/>
      <c r="U6" s="44"/>
      <c r="V6" s="44"/>
      <c r="W6" s="44"/>
      <c r="X6" s="44"/>
      <c r="Y6" s="44"/>
      <c r="Z6" s="44"/>
    </row>
    <row r="7" customHeight="1" spans="1:26">
      <c r="A7" s="47" t="s">
        <v>4</v>
      </c>
      <c r="B7" s="44"/>
      <c r="C7" s="44"/>
      <c r="D7" s="44"/>
      <c r="E7" s="44"/>
      <c r="F7" s="44"/>
      <c r="G7" s="44"/>
      <c r="H7" s="44"/>
      <c r="I7" s="44"/>
      <c r="J7" s="44"/>
      <c r="K7" s="44"/>
      <c r="L7" s="44"/>
      <c r="M7" s="44"/>
      <c r="N7" s="44"/>
      <c r="O7" s="44"/>
      <c r="P7" s="44"/>
      <c r="Q7" s="44"/>
      <c r="R7" s="44"/>
      <c r="S7" s="44"/>
      <c r="T7" s="44"/>
      <c r="U7" s="44"/>
      <c r="V7" s="44"/>
      <c r="W7" s="44"/>
      <c r="X7" s="44"/>
      <c r="Y7" s="44"/>
      <c r="Z7" s="44"/>
    </row>
    <row r="8" customHeight="1" spans="1:26">
      <c r="A8" s="47" t="s">
        <v>5</v>
      </c>
      <c r="B8" s="44"/>
      <c r="C8" s="44"/>
      <c r="D8" s="44"/>
      <c r="E8" s="44"/>
      <c r="F8" s="44"/>
      <c r="G8" s="44"/>
      <c r="H8" s="44"/>
      <c r="I8" s="44"/>
      <c r="J8" s="44"/>
      <c r="K8" s="44"/>
      <c r="L8" s="44"/>
      <c r="M8" s="44"/>
      <c r="N8" s="44"/>
      <c r="O8" s="44"/>
      <c r="P8" s="44"/>
      <c r="Q8" s="44"/>
      <c r="R8" s="44"/>
      <c r="S8" s="44"/>
      <c r="T8" s="44"/>
      <c r="U8" s="44"/>
      <c r="V8" s="44"/>
      <c r="W8" s="44"/>
      <c r="X8" s="44"/>
      <c r="Y8" s="44"/>
      <c r="Z8" s="44"/>
    </row>
    <row r="9" customHeight="1" spans="1:26">
      <c r="A9" s="47"/>
      <c r="B9" s="44"/>
      <c r="C9" s="44"/>
      <c r="D9" s="44"/>
      <c r="E9" s="44"/>
      <c r="F9" s="44"/>
      <c r="G9" s="44"/>
      <c r="H9" s="44"/>
      <c r="I9" s="44"/>
      <c r="J9" s="44"/>
      <c r="K9" s="44"/>
      <c r="L9" s="44"/>
      <c r="M9" s="44"/>
      <c r="N9" s="44"/>
      <c r="O9" s="44"/>
      <c r="P9" s="44"/>
      <c r="Q9" s="44"/>
      <c r="R9" s="44"/>
      <c r="S9" s="44"/>
      <c r="T9" s="44"/>
      <c r="U9" s="44"/>
      <c r="V9" s="44"/>
      <c r="W9" s="44"/>
      <c r="X9" s="44"/>
      <c r="Y9" s="44"/>
      <c r="Z9" s="44"/>
    </row>
    <row r="10" customHeight="1" spans="1:26">
      <c r="A10" s="46" t="s">
        <v>6</v>
      </c>
      <c r="B10" s="44"/>
      <c r="C10" s="44"/>
      <c r="D10" s="44"/>
      <c r="E10" s="44"/>
      <c r="F10" s="44"/>
      <c r="G10" s="44"/>
      <c r="H10" s="44"/>
      <c r="I10" s="44"/>
      <c r="J10" s="44"/>
      <c r="K10" s="44"/>
      <c r="L10" s="44"/>
      <c r="M10" s="44"/>
      <c r="N10" s="44"/>
      <c r="O10" s="44"/>
      <c r="P10" s="44"/>
      <c r="Q10" s="44"/>
      <c r="R10" s="44"/>
      <c r="S10" s="44"/>
      <c r="T10" s="44"/>
      <c r="U10" s="44"/>
      <c r="V10" s="44"/>
      <c r="W10" s="44"/>
      <c r="X10" s="44"/>
      <c r="Y10" s="44"/>
      <c r="Z10" s="44"/>
    </row>
    <row r="11" customHeight="1" spans="1:26">
      <c r="A11" s="47" t="s">
        <v>7</v>
      </c>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ustomHeight="1" spans="1:26">
      <c r="A12" s="47" t="s">
        <v>8</v>
      </c>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ustomHeight="1" spans="1:26">
      <c r="A13" s="47"/>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ustomHeight="1" spans="1:26">
      <c r="A14" s="46" t="s">
        <v>9</v>
      </c>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ustomHeight="1" spans="1:26">
      <c r="A15" s="47" t="s">
        <v>10</v>
      </c>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ustomHeight="1" spans="1:26">
      <c r="A16" s="47" t="s">
        <v>11</v>
      </c>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ustomHeight="1" spans="1:26">
      <c r="A17" s="47"/>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ustomHeight="1" spans="1:26">
      <c r="A18" s="46" t="s">
        <v>12</v>
      </c>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ustomHeight="1" spans="1:26">
      <c r="A19" s="47" t="s">
        <v>13</v>
      </c>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ustomHeight="1" spans="1:26">
      <c r="A20" s="47" t="s">
        <v>14</v>
      </c>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ustomHeight="1" spans="1:26">
      <c r="A21" s="47" t="s">
        <v>15</v>
      </c>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ustomHeight="1" spans="1:26">
      <c r="A22" s="47"/>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ustomHeight="1" spans="1:26">
      <c r="A23" s="46" t="s">
        <v>16</v>
      </c>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ustomHeight="1" spans="1:26">
      <c r="A24" s="47" t="s">
        <v>17</v>
      </c>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ustomHeight="1" spans="1:26">
      <c r="A25" s="47" t="s">
        <v>18</v>
      </c>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ustomHeight="1" spans="1:26">
      <c r="A26" s="47"/>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ustomHeight="1" spans="1:26">
      <c r="A27" s="46" t="s">
        <v>19</v>
      </c>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ustomHeight="1" spans="1:26">
      <c r="A28" s="47" t="s">
        <v>20</v>
      </c>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ustomHeight="1" spans="1:26">
      <c r="A29" s="47" t="s">
        <v>21</v>
      </c>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ustomHeight="1" spans="1:26">
      <c r="A30" s="47"/>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ustomHeight="1" spans="1:26">
      <c r="A31" s="46" t="s">
        <v>22</v>
      </c>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ustomHeight="1" spans="1:26">
      <c r="A32" s="47" t="s">
        <v>23</v>
      </c>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ustomHeight="1" spans="1:26">
      <c r="A33" s="47" t="s">
        <v>24</v>
      </c>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ustomHeight="1" spans="1:26">
      <c r="A34" s="47"/>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ustomHeight="1" spans="1:26">
      <c r="A35" s="46" t="s">
        <v>25</v>
      </c>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ustomHeight="1" spans="1:26">
      <c r="A36" s="47" t="s">
        <v>26</v>
      </c>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ustomHeight="1" spans="1:26">
      <c r="A37" s="47" t="s">
        <v>27</v>
      </c>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ustomHeight="1" spans="1:26">
      <c r="A38" s="47"/>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ustomHeight="1" spans="1:26">
      <c r="A39" s="46" t="s">
        <v>28</v>
      </c>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ustomHeight="1" spans="1:26">
      <c r="A40" s="47" t="s">
        <v>29</v>
      </c>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ustomHeight="1" spans="1:26">
      <c r="A41" s="47"/>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ustomHeight="1" spans="1:26">
      <c r="A42" s="46" t="s">
        <v>30</v>
      </c>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ustomHeight="1" spans="1:26">
      <c r="A43" s="47" t="s">
        <v>31</v>
      </c>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ustomHeight="1" spans="1:26">
      <c r="A44" s="47"/>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ustomHeight="1" spans="1:26">
      <c r="A45" s="46" t="s">
        <v>32</v>
      </c>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ustomHeight="1" spans="1:26">
      <c r="A46" s="47" t="s">
        <v>33</v>
      </c>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ustomHeight="1" spans="1:26">
      <c r="A47" s="47"/>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ustomHeight="1" spans="1:26">
      <c r="A48" s="46" t="s">
        <v>34</v>
      </c>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ustomHeight="1" spans="1:26">
      <c r="A49" s="47" t="s">
        <v>35</v>
      </c>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ustomHeight="1" spans="1:26">
      <c r="A50" s="47" t="s">
        <v>36</v>
      </c>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ustomHeight="1" spans="1:26">
      <c r="A51" s="47"/>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ustomHeight="1" spans="1:26">
      <c r="A52" s="46" t="s">
        <v>37</v>
      </c>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ustomHeight="1" spans="1:26">
      <c r="A53" s="47" t="s">
        <v>38</v>
      </c>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ustomHeight="1" spans="1:26">
      <c r="A54" s="47"/>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ustomHeight="1" spans="1:26">
      <c r="A55" s="46" t="s">
        <v>39</v>
      </c>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ustomHeight="1" spans="1:26">
      <c r="A56" s="47" t="s">
        <v>40</v>
      </c>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ustomHeight="1" spans="1:26">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ustomHeight="1" spans="1:26">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ustomHeight="1" spans="1:26">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ustomHeight="1" spans="1:26">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ustomHeight="1" spans="1:26">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ustomHeight="1" spans="1:26">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ustomHeight="1" spans="1:26">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ustomHeight="1" spans="1:26">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ustomHeight="1" spans="1:26">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ustomHeight="1" spans="1:2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ustomHeight="1" spans="1:26">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ustomHeight="1" spans="1:26">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ustomHeight="1" spans="1:26">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ustomHeight="1" spans="1:26">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ustomHeight="1" spans="1:26">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ustomHeight="1" spans="1:26">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ustomHeight="1" spans="1:26">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ustomHeight="1" spans="1:26">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ustomHeight="1" spans="1:26">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ustomHeight="1" spans="1:2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ustomHeight="1" spans="1:26">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ustomHeight="1" spans="1:26">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ustomHeight="1" spans="1:26">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ustomHeight="1" spans="1:26">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ustomHeight="1" spans="1:26">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ustomHeight="1" spans="1:26">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ustomHeight="1" spans="1:26">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ustomHeight="1" spans="1:26">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ustomHeight="1" spans="1:26">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ustomHeight="1" spans="1:2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ustomHeight="1" spans="1:26">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ustomHeight="1" spans="1:26">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ustomHeight="1" spans="1:26">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ustomHeight="1" spans="1:26">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ustomHeight="1" spans="1:26">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ustomHeight="1" spans="1:26">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ustomHeight="1" spans="1:26">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ustomHeight="1" spans="1:26">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ustomHeight="1" spans="1:26">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ustomHeight="1" spans="1:2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ustomHeight="1" spans="1:26">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ustomHeight="1" spans="1:26">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ustomHeight="1" spans="1:26">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ustomHeight="1" spans="1:26">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ustomHeight="1" spans="1:26">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ustomHeight="1" spans="1:26">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ustomHeight="1" spans="1:26">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ustomHeight="1" spans="1:26">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ustomHeight="1" spans="1:26">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ustomHeight="1" spans="1:2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ustomHeight="1" spans="1:26">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ustomHeight="1" spans="1:26">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ustomHeight="1" spans="1:26">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ustomHeight="1" spans="1:26">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ustomHeight="1" spans="1:26">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ustomHeight="1" spans="1:26">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ustomHeight="1" spans="1:26">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ustomHeight="1" spans="1:26">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ustomHeight="1" spans="1:26">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ustomHeight="1" spans="1:2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ustomHeight="1" spans="1:26">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ustomHeight="1" spans="1:26">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ustomHeight="1" spans="1:26">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ustomHeight="1" spans="1:26">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ustomHeight="1" spans="1:26">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ustomHeight="1" spans="1:26">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ustomHeight="1" spans="1:26">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ustomHeight="1" spans="1:26">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ustomHeight="1" spans="1:26">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ustomHeight="1" spans="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ustomHeight="1" spans="1:26">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ustomHeight="1" spans="1:26">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ustomHeight="1" spans="1:26">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ustomHeight="1" spans="1:26">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ustomHeight="1" spans="1:26">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ustomHeight="1" spans="1:26">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ustomHeight="1" spans="1:26">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ustomHeight="1" spans="1:26">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ustomHeight="1" spans="1:26">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ustomHeight="1" spans="1:2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ustomHeight="1" spans="1:26">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ustomHeight="1" spans="1:26">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ustomHeight="1" spans="1:26">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ustomHeight="1" spans="1:26">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ustomHeight="1" spans="1:26">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ustomHeight="1" spans="1:26">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ustomHeight="1" spans="1:26">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ustomHeight="1" spans="1:26">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ustomHeight="1" spans="1:26">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ustomHeight="1" spans="1:2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ustomHeight="1" spans="1:26">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ustomHeight="1" spans="1:26">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ustomHeight="1" spans="1:26">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ustomHeight="1" spans="1:26">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ustomHeight="1" spans="1:26">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ustomHeight="1" spans="1:26">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ustomHeight="1" spans="1:26">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ustomHeight="1" spans="1:26">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ustomHeight="1" spans="1:26">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ustomHeight="1" spans="1:2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ustomHeight="1" spans="1:26">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ustomHeight="1" spans="1:26">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ustomHeight="1" spans="1:26">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ustomHeight="1" spans="1:26">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ustomHeight="1" spans="1:26">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ustomHeight="1" spans="1:26">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ustomHeight="1" spans="1:26">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ustomHeight="1" spans="1:26">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ustomHeight="1" spans="1:26">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ustomHeight="1" spans="1:2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ustomHeight="1" spans="1:26">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ustomHeight="1" spans="1:26">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ustomHeight="1" spans="1:26">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ustomHeight="1" spans="1:26">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ustomHeight="1" spans="1:26">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ustomHeight="1" spans="1:26">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ustomHeight="1" spans="1:26">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ustomHeight="1" spans="1:26">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ustomHeight="1" spans="1:26">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ustomHeight="1" spans="1:2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ustomHeight="1" spans="1:26">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ustomHeight="1" spans="1:26">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ustomHeight="1" spans="1:26">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ustomHeight="1" spans="1:26">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ustomHeight="1" spans="1:26">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ustomHeight="1" spans="1:26">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ustomHeight="1" spans="1:26">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ustomHeight="1" spans="1:26">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ustomHeight="1" spans="1:26">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ustomHeight="1" spans="1:2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ustomHeight="1" spans="1:26">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ustomHeight="1" spans="1:26">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ustomHeight="1" spans="1:26">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ustomHeight="1" spans="1:26">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ustomHeight="1" spans="1:26">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ustomHeight="1" spans="1:26">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ustomHeight="1" spans="1:26">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ustomHeight="1" spans="1:26">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ustomHeight="1" spans="1:26">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ustomHeight="1" spans="1:2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ustomHeight="1" spans="1:26">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ustomHeight="1" spans="1:26">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ustomHeight="1" spans="1:26">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ustomHeight="1" spans="1:26">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ustomHeight="1" spans="1:26">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ustomHeight="1" spans="1:26">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ustomHeight="1" spans="1:26">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ustomHeight="1" spans="1:26">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ustomHeight="1" spans="1:26">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ustomHeight="1" spans="1:2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ustomHeight="1" spans="1:26">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ustomHeight="1" spans="1:26">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ustomHeight="1" spans="1:26">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ustomHeight="1" spans="1:26">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ustomHeight="1" spans="1:26">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ustomHeight="1" spans="1:26">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ustomHeight="1" spans="1:26">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ustomHeight="1" spans="1:26">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ustomHeight="1" spans="1:26">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ustomHeight="1" spans="1:2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ustomHeight="1" spans="1:26">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ustomHeight="1" spans="1:26">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ustomHeight="1" spans="1:26">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ustomHeight="1" spans="1:26">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ustomHeight="1" spans="1:26">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ustomHeight="1" spans="1:26">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ustomHeight="1" spans="1:26">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ustomHeight="1" spans="1:26">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ustomHeight="1" spans="1:26">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ustomHeight="1" spans="1: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ustomHeight="1" spans="1:26">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ustomHeight="1" spans="1:26">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ustomHeight="1" spans="1:26">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ustomHeight="1" spans="1:26">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ustomHeight="1" spans="1:26">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ustomHeight="1" spans="1:26">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ustomHeight="1" spans="1:26">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ustomHeight="1" spans="1:26">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ustomHeight="1" spans="1:26">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ustomHeight="1" spans="1:2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ustomHeight="1" spans="1:26">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ustomHeight="1" spans="1:26">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ustomHeight="1" spans="1:26">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ustomHeight="1" spans="1:26">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ustomHeight="1" spans="1:26">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ustomHeight="1" spans="1:26">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ustomHeight="1" spans="1:26">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ustomHeight="1" spans="1:26">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ustomHeight="1" spans="1:26">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ustomHeight="1" spans="1:2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ustomHeight="1" spans="1:26">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ustomHeight="1" spans="1:26">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ustomHeight="1" spans="1:26">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ustomHeight="1" spans="1:26">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ustomHeight="1" spans="1:26">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ustomHeight="1" spans="1:26">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ustomHeight="1" spans="1:26">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ustomHeight="1" spans="1:26">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ustomHeight="1" spans="1:26">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ustomHeight="1" spans="1:2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ustomHeight="1" spans="1:26">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ustomHeight="1" spans="1:26">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ustomHeight="1" spans="1:26">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ustomHeight="1" spans="1:26">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ustomHeight="1" spans="1:26">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ustomHeight="1" spans="1:26">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ustomHeight="1" spans="1:26">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ustomHeight="1" spans="1:26">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ustomHeight="1" spans="1:26">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ustomHeight="1" spans="1:2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ustomHeight="1" spans="1:26">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ustomHeight="1" spans="1:26">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ustomHeight="1" spans="1:26">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ustomHeight="1" spans="1:26">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ustomHeight="1" spans="1:26">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ustomHeight="1" spans="1:26">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ustomHeight="1" spans="1:26">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ustomHeight="1" spans="1:26">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ustomHeight="1" spans="1:26">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ustomHeight="1" spans="1:2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ustomHeight="1" spans="1:26">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ustomHeight="1" spans="1:26">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ustomHeight="1" spans="1:26">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ustomHeight="1" spans="1:26">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ustomHeight="1" spans="1:26">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ustomHeight="1" spans="1:26">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ustomHeight="1" spans="1:26">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ustomHeight="1" spans="1:26">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ustomHeight="1" spans="1:26">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ustomHeight="1" spans="1:2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ustomHeight="1" spans="1:26">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ustomHeight="1" spans="1:26">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ustomHeight="1" spans="1:26">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ustomHeight="1" spans="1:26">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ustomHeight="1" spans="1:26">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ustomHeight="1" spans="1:26">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ustomHeight="1" spans="1:26">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ustomHeight="1" spans="1:26">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ustomHeight="1" spans="1:26">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ustomHeight="1" spans="1:2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ustomHeight="1" spans="1:26">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ustomHeight="1" spans="1:26">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ustomHeight="1" spans="1:26">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ustomHeight="1" spans="1:26">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ustomHeight="1" spans="1:26">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ustomHeight="1" spans="1:26">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ustomHeight="1" spans="1:26">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ustomHeight="1" spans="1:26">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ustomHeight="1" spans="1:26">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ustomHeight="1" spans="1:2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ustomHeight="1" spans="1:26">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ustomHeight="1" spans="1:26">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ustomHeight="1" spans="1:26">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ustomHeight="1" spans="1:26">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ustomHeight="1" spans="1:26">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ustomHeight="1" spans="1:26">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ustomHeight="1" spans="1:26">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ustomHeight="1" spans="1:26">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ustomHeight="1" spans="1:26">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ustomHeight="1" spans="1:2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ustomHeight="1" spans="1:26">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ustomHeight="1" spans="1:26">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ustomHeight="1" spans="1:26">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ustomHeight="1" spans="1:26">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ustomHeight="1" spans="1:26">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ustomHeight="1" spans="1:26">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ustomHeight="1" spans="1:26">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ustomHeight="1" spans="1:26">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ustomHeight="1" spans="1:26">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ustomHeight="1" spans="1: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ustomHeight="1" spans="1:26">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ustomHeight="1" spans="1:26">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ustomHeight="1" spans="1:26">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ustomHeight="1" spans="1:26">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ustomHeight="1" spans="1:26">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ustomHeight="1" spans="1:26">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ustomHeight="1" spans="1:26">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ustomHeight="1" spans="1:26">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ustomHeight="1" spans="1:26">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ustomHeight="1" spans="1:2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ustomHeight="1" spans="1:26">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ustomHeight="1" spans="1:26">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ustomHeight="1" spans="1:26">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ustomHeight="1" spans="1:26">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ustomHeight="1" spans="1:26">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ustomHeight="1" spans="1:26">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ustomHeight="1" spans="1:26">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ustomHeight="1" spans="1:26">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ustomHeight="1" spans="1:26">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ustomHeight="1" spans="1:2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ustomHeight="1" spans="1:26">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ustomHeight="1" spans="1:26">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ustomHeight="1" spans="1:26">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ustomHeight="1" spans="1:26">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ustomHeight="1" spans="1:26">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ustomHeight="1" spans="1:26">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ustomHeight="1" spans="1:26">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ustomHeight="1" spans="1:26">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ustomHeight="1" spans="1:26">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ustomHeight="1" spans="1:2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ustomHeight="1" spans="1:26">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ustomHeight="1" spans="1:26">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ustomHeight="1" spans="1:26">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ustomHeight="1" spans="1:26">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ustomHeight="1" spans="1:26">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ustomHeight="1" spans="1:26">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ustomHeight="1" spans="1:26">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ustomHeight="1" spans="1:26">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ustomHeight="1" spans="1:26">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ustomHeight="1" spans="1:2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ustomHeight="1" spans="1:26">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ustomHeight="1" spans="1:26">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ustomHeight="1" spans="1:26">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ustomHeight="1" spans="1:26">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ustomHeight="1" spans="1:26">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ustomHeight="1" spans="1:26">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ustomHeight="1" spans="1:26">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ustomHeight="1" spans="1:26">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ustomHeight="1" spans="1:26">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ustomHeight="1" spans="1:2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ustomHeight="1" spans="1:26">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ustomHeight="1" spans="1:26">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ustomHeight="1" spans="1:26">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ustomHeight="1" spans="1:26">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ustomHeight="1" spans="1:26">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ustomHeight="1" spans="1:26">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ustomHeight="1" spans="1:26">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ustomHeight="1" spans="1:26">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ustomHeight="1" spans="1:26">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ustomHeight="1" spans="1:2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ustomHeight="1" spans="1:26">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ustomHeight="1" spans="1:26">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ustomHeight="1" spans="1:26">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ustomHeight="1" spans="1:26">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ustomHeight="1" spans="1:26">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ustomHeight="1" spans="1:26">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ustomHeight="1" spans="1:26">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ustomHeight="1" spans="1:26">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ustomHeight="1" spans="1:26">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ustomHeight="1" spans="1:2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ustomHeight="1" spans="1:26">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ustomHeight="1" spans="1:26">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ustomHeight="1" spans="1:26">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ustomHeight="1" spans="1:26">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ustomHeight="1" spans="1:26">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ustomHeight="1" spans="1:26">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ustomHeight="1" spans="1:26">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ustomHeight="1" spans="1:26">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ustomHeight="1" spans="1:26">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ustomHeight="1" spans="1:2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ustomHeight="1" spans="1:26">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ustomHeight="1" spans="1:26">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ustomHeight="1" spans="1:26">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ustomHeight="1" spans="1:26">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ustomHeight="1" spans="1:26">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ustomHeight="1" spans="1:26">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ustomHeight="1" spans="1:26">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ustomHeight="1" spans="1:26">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ustomHeight="1" spans="1:26">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ustomHeight="1" spans="1:2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ustomHeight="1" spans="1:26">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ustomHeight="1" spans="1:26">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ustomHeight="1" spans="1:26">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ustomHeight="1" spans="1:26">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ustomHeight="1" spans="1:26">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ustomHeight="1" spans="1:26">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ustomHeight="1" spans="1:26">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ustomHeight="1" spans="1:26">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ustomHeight="1" spans="1:26">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ustomHeight="1" spans="1: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ustomHeight="1" spans="1:26">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ustomHeight="1" spans="1:26">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ustomHeight="1" spans="1:26">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ustomHeight="1" spans="1:26">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ustomHeight="1" spans="1:26">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ustomHeight="1" spans="1:26">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ustomHeight="1" spans="1:26">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ustomHeight="1" spans="1:26">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ustomHeight="1" spans="1:26">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ustomHeight="1" spans="1:2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ustomHeight="1" spans="1:26">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ustomHeight="1" spans="1:26">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ustomHeight="1" spans="1:26">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ustomHeight="1" spans="1:26">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ustomHeight="1" spans="1:26">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ustomHeight="1" spans="1:26">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ustomHeight="1" spans="1:26">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ustomHeight="1" spans="1:26">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ustomHeight="1" spans="1:26">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ustomHeight="1" spans="1:2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ustomHeight="1" spans="1:26">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ustomHeight="1" spans="1:26">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ustomHeight="1" spans="1:26">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ustomHeight="1" spans="1:26">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ustomHeight="1" spans="1:26">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ustomHeight="1" spans="1:26">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ustomHeight="1" spans="1:26">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ustomHeight="1" spans="1:26">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ustomHeight="1" spans="1:26">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ustomHeight="1" spans="1:2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ustomHeight="1" spans="1:26">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ustomHeight="1" spans="1:26">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ustomHeight="1" spans="1:26">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ustomHeight="1" spans="1:26">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ustomHeight="1" spans="1:26">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ustomHeight="1" spans="1:26">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ustomHeight="1" spans="1:26">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ustomHeight="1" spans="1:26">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ustomHeight="1" spans="1:26">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ustomHeight="1" spans="1:2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ustomHeight="1" spans="1:26">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ustomHeight="1" spans="1:26">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ustomHeight="1" spans="1:26">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ustomHeight="1" spans="1:26">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ustomHeight="1" spans="1:26">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ustomHeight="1" spans="1:26">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ustomHeight="1" spans="1:26">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ustomHeight="1" spans="1:26">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ustomHeight="1" spans="1:26">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ustomHeight="1" spans="1:2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ustomHeight="1" spans="1:26">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ustomHeight="1" spans="1:26">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ustomHeight="1" spans="1:26">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ustomHeight="1" spans="1:26">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ustomHeight="1" spans="1:26">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ustomHeight="1" spans="1:26">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ustomHeight="1" spans="1:26">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ustomHeight="1" spans="1:26">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ustomHeight="1" spans="1:26">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ustomHeight="1" spans="1:2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ustomHeight="1" spans="1:26">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ustomHeight="1" spans="1:26">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ustomHeight="1" spans="1:26">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ustomHeight="1" spans="1:26">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ustomHeight="1" spans="1:26">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ustomHeight="1" spans="1:26">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ustomHeight="1" spans="1:26">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ustomHeight="1" spans="1:26">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ustomHeight="1" spans="1:26">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ustomHeight="1" spans="1:2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ustomHeight="1" spans="1:26">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ustomHeight="1" spans="1:26">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ustomHeight="1" spans="1:26">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ustomHeight="1" spans="1:26">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ustomHeight="1" spans="1:26">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ustomHeight="1" spans="1:26">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ustomHeight="1" spans="1:26">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ustomHeight="1" spans="1:26">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ustomHeight="1" spans="1:26">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ustomHeight="1" spans="1:2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ustomHeight="1" spans="1:26">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ustomHeight="1" spans="1:26">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ustomHeight="1" spans="1:26">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ustomHeight="1" spans="1:26">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ustomHeight="1" spans="1:26">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ustomHeight="1" spans="1:26">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ustomHeight="1" spans="1:26">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ustomHeight="1" spans="1:26">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ustomHeight="1" spans="1:26">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ustomHeight="1" spans="1:2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ustomHeight="1" spans="1:26">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ustomHeight="1" spans="1:26">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ustomHeight="1" spans="1:26">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ustomHeight="1" spans="1:26">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ustomHeight="1" spans="1:26">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ustomHeight="1" spans="1:26">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ustomHeight="1" spans="1:26">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ustomHeight="1" spans="1:26">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ustomHeight="1" spans="1:26">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ustomHeight="1" spans="1: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ustomHeight="1" spans="1:26">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ustomHeight="1" spans="1:26">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ustomHeight="1" spans="1:26">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ustomHeight="1" spans="1:26">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ustomHeight="1" spans="1:26">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ustomHeight="1" spans="1:26">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ustomHeight="1" spans="1:26">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ustomHeight="1" spans="1:26">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ustomHeight="1" spans="1:26">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ustomHeight="1" spans="1:2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ustomHeight="1" spans="1:26">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ustomHeight="1" spans="1:26">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ustomHeight="1" spans="1:26">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ustomHeight="1" spans="1:26">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ustomHeight="1" spans="1:26">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ustomHeight="1" spans="1:26">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ustomHeight="1" spans="1:26">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ustomHeight="1" spans="1:26">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ustomHeight="1" spans="1:26">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ustomHeight="1" spans="1:2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ustomHeight="1" spans="1:26">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ustomHeight="1" spans="1:26">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ustomHeight="1" spans="1:26">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ustomHeight="1" spans="1:26">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ustomHeight="1" spans="1:26">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ustomHeight="1" spans="1:26">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ustomHeight="1" spans="1:26">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ustomHeight="1" spans="1:26">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ustomHeight="1" spans="1:26">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ustomHeight="1" spans="1:2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ustomHeight="1" spans="1:26">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ustomHeight="1" spans="1:26">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ustomHeight="1" spans="1:26">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ustomHeight="1" spans="1:26">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ustomHeight="1" spans="1:26">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ustomHeight="1" spans="1:26">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ustomHeight="1" spans="1:26">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ustomHeight="1" spans="1:26">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ustomHeight="1" spans="1:26">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ustomHeight="1" spans="1:2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ustomHeight="1" spans="1:26">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ustomHeight="1" spans="1:26">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ustomHeight="1" spans="1:26">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ustomHeight="1" spans="1:26">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ustomHeight="1" spans="1:26">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ustomHeight="1" spans="1:26">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ustomHeight="1" spans="1:26">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ustomHeight="1" spans="1:26">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ustomHeight="1" spans="1:26">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ustomHeight="1" spans="1:2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ustomHeight="1" spans="1:26">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ustomHeight="1" spans="1:26">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ustomHeight="1" spans="1:26">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ustomHeight="1" spans="1:26">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ustomHeight="1" spans="1:26">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ustomHeight="1" spans="1:26">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ustomHeight="1" spans="1:26">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ustomHeight="1" spans="1:26">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ustomHeight="1" spans="1:26">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ustomHeight="1" spans="1:2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ustomHeight="1" spans="1:26">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ustomHeight="1" spans="1:26">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ustomHeight="1" spans="1:26">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ustomHeight="1" spans="1:26">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ustomHeight="1" spans="1:26">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ustomHeight="1" spans="1:26">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ustomHeight="1" spans="1:26">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ustomHeight="1" spans="1:26">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ustomHeight="1" spans="1:26">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ustomHeight="1" spans="1:2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ustomHeight="1" spans="1:26">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ustomHeight="1" spans="1:26">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ustomHeight="1" spans="1:26">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ustomHeight="1" spans="1:26">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ustomHeight="1" spans="1:26">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ustomHeight="1" spans="1:26">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ustomHeight="1" spans="1:26">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ustomHeight="1" spans="1:26">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ustomHeight="1" spans="1:26">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ustomHeight="1" spans="1:2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ustomHeight="1" spans="1:26">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ustomHeight="1" spans="1:26">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ustomHeight="1" spans="1:26">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ustomHeight="1" spans="1:26">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ustomHeight="1" spans="1:26">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ustomHeight="1" spans="1:26">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ustomHeight="1" spans="1:26">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ustomHeight="1" spans="1:26">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ustomHeight="1" spans="1:26">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ustomHeight="1" spans="1:2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ustomHeight="1" spans="1:26">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ustomHeight="1" spans="1:26">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ustomHeight="1" spans="1:26">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ustomHeight="1" spans="1:26">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ustomHeight="1" spans="1:26">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ustomHeight="1" spans="1:26">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ustomHeight="1" spans="1:26">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ustomHeight="1" spans="1:26">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ustomHeight="1" spans="1:26">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ustomHeight="1" spans="1: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ustomHeight="1" spans="1:26">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ustomHeight="1" spans="1:26">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ustomHeight="1" spans="1:26">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ustomHeight="1" spans="1:26">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ustomHeight="1" spans="1:26">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ustomHeight="1" spans="1:26">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ustomHeight="1" spans="1:26">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ustomHeight="1" spans="1:26">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ustomHeight="1" spans="1:26">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ustomHeight="1" spans="1:2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ustomHeight="1" spans="1:26">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ustomHeight="1" spans="1:26">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ustomHeight="1" spans="1:26">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ustomHeight="1" spans="1:26">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ustomHeight="1" spans="1:26">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ustomHeight="1" spans="1:26">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ustomHeight="1" spans="1:26">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ustomHeight="1" spans="1:26">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ustomHeight="1" spans="1:26">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ustomHeight="1" spans="1:2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ustomHeight="1" spans="1:26">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ustomHeight="1" spans="1:26">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ustomHeight="1" spans="1:26">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ustomHeight="1" spans="1:26">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ustomHeight="1" spans="1:26">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ustomHeight="1" spans="1:26">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ustomHeight="1" spans="1:26">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ustomHeight="1" spans="1:26">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ustomHeight="1" spans="1:26">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ustomHeight="1" spans="1:2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ustomHeight="1" spans="1:26">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ustomHeight="1" spans="1:26">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ustomHeight="1" spans="1:26">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ustomHeight="1" spans="1:26">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ustomHeight="1" spans="1:26">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ustomHeight="1" spans="1:26">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ustomHeight="1" spans="1:26">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ustomHeight="1" spans="1:26">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ustomHeight="1" spans="1:26">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ustomHeight="1" spans="1:2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ustomHeight="1" spans="1:26">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ustomHeight="1" spans="1:26">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ustomHeight="1" spans="1:26">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ustomHeight="1" spans="1:26">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ustomHeight="1" spans="1:26">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ustomHeight="1" spans="1:26">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ustomHeight="1" spans="1:26">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ustomHeight="1" spans="1:26">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ustomHeight="1" spans="1:26">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ustomHeight="1" spans="1:2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ustomHeight="1" spans="1:26">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ustomHeight="1" spans="1:26">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ustomHeight="1" spans="1:26">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ustomHeight="1" spans="1:26">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ustomHeight="1" spans="1:26">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ustomHeight="1" spans="1:26">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ustomHeight="1" spans="1:26">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ustomHeight="1" spans="1:26">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ustomHeight="1" spans="1:26">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ustomHeight="1" spans="1:2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ustomHeight="1" spans="1:26">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ustomHeight="1" spans="1:26">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ustomHeight="1" spans="1:26">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ustomHeight="1" spans="1:26">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ustomHeight="1" spans="1:26">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ustomHeight="1" spans="1:26">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ustomHeight="1" spans="1:26">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ustomHeight="1" spans="1:26">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ustomHeight="1" spans="1:26">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ustomHeight="1" spans="1:2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ustomHeight="1" spans="1:26">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ustomHeight="1" spans="1:26">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ustomHeight="1" spans="1:26">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ustomHeight="1" spans="1:26">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ustomHeight="1" spans="1:26">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ustomHeight="1" spans="1:26">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ustomHeight="1" spans="1:26">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ustomHeight="1" spans="1:26">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ustomHeight="1" spans="1:26">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ustomHeight="1" spans="1:2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ustomHeight="1" spans="1:26">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ustomHeight="1" spans="1:26">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ustomHeight="1" spans="1:26">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ustomHeight="1" spans="1:26">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ustomHeight="1" spans="1:26">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ustomHeight="1" spans="1:26">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ustomHeight="1" spans="1:26">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ustomHeight="1" spans="1:26">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ustomHeight="1" spans="1:26">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ustomHeight="1" spans="1:2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ustomHeight="1" spans="1:26">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ustomHeight="1" spans="1:26">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ustomHeight="1" spans="1:26">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ustomHeight="1" spans="1:26">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ustomHeight="1" spans="1:26">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ustomHeight="1" spans="1:26">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ustomHeight="1" spans="1:26">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ustomHeight="1" spans="1:26">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ustomHeight="1" spans="1:26">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ustomHeight="1" spans="1: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ustomHeight="1" spans="1:26">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ustomHeight="1" spans="1:26">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ustomHeight="1" spans="1:26">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ustomHeight="1" spans="1:26">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ustomHeight="1" spans="1:26">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ustomHeight="1" spans="1:26">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ustomHeight="1" spans="1:26">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ustomHeight="1" spans="1:26">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ustomHeight="1" spans="1:26">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ustomHeight="1" spans="1:2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ustomHeight="1" spans="1:26">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ustomHeight="1" spans="1:26">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ustomHeight="1" spans="1:26">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ustomHeight="1" spans="1:26">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ustomHeight="1" spans="1:26">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ustomHeight="1" spans="1:26">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ustomHeight="1" spans="1:26">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ustomHeight="1" spans="1:26">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ustomHeight="1" spans="1:26">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ustomHeight="1" spans="1:2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ustomHeight="1" spans="1:26">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ustomHeight="1" spans="1:26">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ustomHeight="1" spans="1:26">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ustomHeight="1" spans="1:26">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ustomHeight="1" spans="1:26">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ustomHeight="1" spans="1:26">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ustomHeight="1" spans="1:26">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ustomHeight="1" spans="1:26">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ustomHeight="1" spans="1:26">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ustomHeight="1" spans="1:2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ustomHeight="1" spans="1:26">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ustomHeight="1" spans="1:26">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ustomHeight="1" spans="1:26">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ustomHeight="1" spans="1:26">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ustomHeight="1" spans="1:26">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ustomHeight="1" spans="1:26">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ustomHeight="1" spans="1:26">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ustomHeight="1" spans="1:26">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ustomHeight="1" spans="1:26">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ustomHeight="1" spans="1:2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ustomHeight="1" spans="1:26">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ustomHeight="1" spans="1:26">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ustomHeight="1" spans="1:26">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ustomHeight="1" spans="1:26">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ustomHeight="1" spans="1:26">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ustomHeight="1" spans="1:26">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ustomHeight="1" spans="1:26">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ustomHeight="1" spans="1:26">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ustomHeight="1" spans="1:26">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ustomHeight="1" spans="1:2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ustomHeight="1" spans="1:26">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ustomHeight="1" spans="1:26">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ustomHeight="1" spans="1:26">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ustomHeight="1" spans="1:26">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ustomHeight="1" spans="1:26">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ustomHeight="1" spans="1:26">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ustomHeight="1" spans="1:26">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ustomHeight="1" spans="1:26">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ustomHeight="1" spans="1:26">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ustomHeight="1" spans="1:2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ustomHeight="1" spans="1:26">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ustomHeight="1" spans="1:26">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ustomHeight="1" spans="1:26">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ustomHeight="1" spans="1:26">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ustomHeight="1" spans="1:26">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ustomHeight="1" spans="1:26">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ustomHeight="1" spans="1:26">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ustomHeight="1" spans="1:26">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ustomHeight="1" spans="1:26">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ustomHeight="1" spans="1:2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ustomHeight="1" spans="1:26">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ustomHeight="1" spans="1:26">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ustomHeight="1" spans="1:26">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ustomHeight="1" spans="1:26">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ustomHeight="1" spans="1:26">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ustomHeight="1" spans="1:26">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ustomHeight="1" spans="1:26">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ustomHeight="1" spans="1:26">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ustomHeight="1" spans="1:26">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ustomHeight="1" spans="1:2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ustomHeight="1" spans="1:26">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ustomHeight="1" spans="1:26">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ustomHeight="1" spans="1:26">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ustomHeight="1" spans="1:26">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ustomHeight="1" spans="1:26">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ustomHeight="1" spans="1:26">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ustomHeight="1" spans="1:26">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ustomHeight="1" spans="1:26">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ustomHeight="1" spans="1:26">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ustomHeight="1" spans="1:2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ustomHeight="1" spans="1:26">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ustomHeight="1" spans="1:26">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ustomHeight="1" spans="1:26">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ustomHeight="1" spans="1:26">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ustomHeight="1" spans="1:26">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ustomHeight="1" spans="1:26">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ustomHeight="1" spans="1:26">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ustomHeight="1" spans="1:26">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ustomHeight="1" spans="1:26">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ustomHeight="1" spans="1: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ustomHeight="1" spans="1:26">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ustomHeight="1" spans="1:26">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ustomHeight="1" spans="1:26">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ustomHeight="1" spans="1:26">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ustomHeight="1" spans="1:26">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ustomHeight="1" spans="1:26">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ustomHeight="1" spans="1:26">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ustomHeight="1" spans="1:26">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ustomHeight="1" spans="1:26">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ustomHeight="1" spans="1:2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ustomHeight="1" spans="1:26">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ustomHeight="1" spans="1:26">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ustomHeight="1" spans="1:26">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ustomHeight="1" spans="1:26">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ustomHeight="1" spans="1:26">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ustomHeight="1" spans="1:26">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ustomHeight="1" spans="1:26">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ustomHeight="1" spans="1:26">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ustomHeight="1" spans="1:26">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ustomHeight="1" spans="1:2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ustomHeight="1" spans="1:26">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ustomHeight="1" spans="1:26">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ustomHeight="1" spans="1:26">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ustomHeight="1" spans="1:26">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ustomHeight="1" spans="1:26">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ustomHeight="1" spans="1:26">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ustomHeight="1" spans="1:26">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ustomHeight="1" spans="1:26">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ustomHeight="1" spans="1:26">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ustomHeight="1" spans="1:2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ustomHeight="1" spans="1:26">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ustomHeight="1" spans="1:26">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ustomHeight="1" spans="1:26">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ustomHeight="1" spans="1:26">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ustomHeight="1" spans="1:26">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ustomHeight="1" spans="1:26">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ustomHeight="1" spans="1:26">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ustomHeight="1" spans="1:26">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ustomHeight="1" spans="1:26">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ustomHeight="1" spans="1:2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ustomHeight="1" spans="1:26">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ustomHeight="1" spans="1:26">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ustomHeight="1" spans="1:26">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ustomHeight="1" spans="1:26">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ustomHeight="1" spans="1:26">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ustomHeight="1" spans="1:26">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ustomHeight="1" spans="1:26">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ustomHeight="1" spans="1:26">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ustomHeight="1" spans="1:26">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ustomHeight="1" spans="1:2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ustomHeight="1" spans="1:26">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ustomHeight="1" spans="1:26">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ustomHeight="1" spans="1:26">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ustomHeight="1" spans="1:26">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ustomHeight="1" spans="1:26">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ustomHeight="1" spans="1:26">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ustomHeight="1" spans="1:26">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ustomHeight="1" spans="1:26">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ustomHeight="1" spans="1:26">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ustomHeight="1" spans="1:2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ustomHeight="1" spans="1:26">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ustomHeight="1" spans="1:26">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ustomHeight="1" spans="1:26">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ustomHeight="1" spans="1:26">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ustomHeight="1" spans="1:26">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ustomHeight="1" spans="1:26">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ustomHeight="1" spans="1:26">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ustomHeight="1" spans="1:26">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ustomHeight="1" spans="1:26">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ustomHeight="1" spans="1:2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ustomHeight="1" spans="1:26">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ustomHeight="1" spans="1:26">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ustomHeight="1" spans="1:26">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ustomHeight="1" spans="1:26">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ustomHeight="1" spans="1:26">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ustomHeight="1" spans="1:26">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ustomHeight="1" spans="1:26">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ustomHeight="1" spans="1:26">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ustomHeight="1" spans="1:26">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ustomHeight="1" spans="1:2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ustomHeight="1" spans="1:26">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ustomHeight="1" spans="1:26">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ustomHeight="1" spans="1:26">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ustomHeight="1" spans="1:26">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ustomHeight="1" spans="1:26">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ustomHeight="1" spans="1:26">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ustomHeight="1" spans="1:26">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ustomHeight="1" spans="1:26">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ustomHeight="1" spans="1:26">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ustomHeight="1" spans="1:2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ustomHeight="1" spans="1:26">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ustomHeight="1" spans="1:26">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ustomHeight="1" spans="1:26">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ustomHeight="1" spans="1:26">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ustomHeight="1" spans="1:26">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ustomHeight="1" spans="1:26">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ustomHeight="1" spans="1:26">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ustomHeight="1" spans="1:26">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ustomHeight="1" spans="1:26">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ustomHeight="1" spans="1: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ustomHeight="1" spans="1:26">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ustomHeight="1" spans="1:26">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ustomHeight="1" spans="1:26">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ustomHeight="1" spans="1:26">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ustomHeight="1" spans="1:26">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ustomHeight="1" spans="1:26">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ustomHeight="1" spans="1:26">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ustomHeight="1" spans="1:26">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ustomHeight="1" spans="1:26">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ustomHeight="1" spans="1:2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ustomHeight="1" spans="1:26">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ustomHeight="1" spans="1:26">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ustomHeight="1" spans="1:26">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ustomHeight="1" spans="1:26">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ustomHeight="1" spans="1:26">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ustomHeight="1" spans="1:26">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ustomHeight="1" spans="1:26">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ustomHeight="1" spans="1:26">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ustomHeight="1" spans="1:26">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ustomHeight="1" spans="1:2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ustomHeight="1" spans="1:26">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ustomHeight="1" spans="1:26">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ustomHeight="1" spans="1:26">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ustomHeight="1" spans="1:26">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ustomHeight="1" spans="1:26">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ustomHeight="1" spans="1:26">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ustomHeight="1" spans="1:26">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ustomHeight="1" spans="1:26">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ustomHeight="1" spans="1:26">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ustomHeight="1" spans="1:2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ustomHeight="1" spans="1:26">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ustomHeight="1" spans="1:26">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ustomHeight="1" spans="1:26">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ustomHeight="1" spans="1:26">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ustomHeight="1" spans="1:26">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ustomHeight="1" spans="1:26">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ustomHeight="1" spans="1:26">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ustomHeight="1" spans="1:26">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ustomHeight="1" spans="1:26">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ustomHeight="1" spans="1:2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ustomHeight="1" spans="1:26">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ustomHeight="1" spans="1:26">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ustomHeight="1" spans="1:26">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ustomHeight="1" spans="1:26">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ustomHeight="1" spans="1:26">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ustomHeight="1" spans="1:26">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ustomHeight="1" spans="1:26">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ustomHeight="1" spans="1:26">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ustomHeight="1" spans="1:26">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ustomHeight="1" spans="1:2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ustomHeight="1" spans="1:26">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Z1000"/>
  <sheetViews>
    <sheetView topLeftCell="A25" workbookViewId="0">
      <selection activeCell="F4" sqref="F4"/>
    </sheetView>
  </sheetViews>
  <sheetFormatPr defaultColWidth="14.4259259259259" defaultRowHeight="15" customHeight="1"/>
  <cols>
    <col min="1" max="1" width="10.287037037037" customWidth="1"/>
    <col min="2" max="2" width="10.4259259259259" customWidth="1"/>
    <col min="3" max="3" width="5.86111111111111" customWidth="1"/>
    <col min="4" max="4" width="7.57407407407407" customWidth="1"/>
    <col min="5" max="5" width="7.28703703703704" customWidth="1"/>
    <col min="6" max="6" width="18.8611111111111" customWidth="1"/>
    <col min="7" max="7" width="17.3611111111111" customWidth="1"/>
    <col min="8" max="8" width="17.4537037037037" customWidth="1"/>
    <col min="9" max="9" width="37.037037037037" customWidth="1"/>
    <col min="10" max="10" width="31.5648148148148" customWidth="1"/>
    <col min="11" max="11" width="16.9259259259259" customWidth="1"/>
    <col min="12" max="12" width="18.3611111111111" customWidth="1"/>
    <col min="13" max="26" width="8.71296296296296" customWidth="1"/>
  </cols>
  <sheetData>
    <row r="1" ht="14.4" customHeight="1" spans="1:26">
      <c r="A1" s="3" t="s">
        <v>41</v>
      </c>
      <c r="B1" s="3" t="s">
        <v>42</v>
      </c>
      <c r="C1" s="3" t="s">
        <v>43</v>
      </c>
      <c r="D1" s="3" t="s">
        <v>44</v>
      </c>
      <c r="E1" s="3" t="s">
        <v>45</v>
      </c>
      <c r="F1" s="3" t="s">
        <v>46</v>
      </c>
      <c r="G1" s="32" t="s">
        <v>47</v>
      </c>
      <c r="H1" s="32" t="s">
        <v>48</v>
      </c>
      <c r="I1" s="32" t="s">
        <v>49</v>
      </c>
      <c r="J1" s="32" t="s">
        <v>50</v>
      </c>
      <c r="K1" s="32" t="s">
        <v>51</v>
      </c>
      <c r="L1" s="10"/>
      <c r="M1" s="10"/>
      <c r="N1" s="10"/>
      <c r="O1" s="10"/>
      <c r="P1" s="10"/>
      <c r="Q1" s="10"/>
      <c r="R1" s="10"/>
      <c r="S1" s="10"/>
      <c r="T1" s="10"/>
      <c r="U1" s="10"/>
      <c r="V1" s="10"/>
      <c r="W1" s="10"/>
      <c r="X1" s="10"/>
      <c r="Y1" s="10"/>
      <c r="Z1" s="10"/>
    </row>
    <row r="2" ht="14.4" customHeight="1" spans="1:26">
      <c r="A2" s="6">
        <v>1001</v>
      </c>
      <c r="B2" s="6" t="s">
        <v>52</v>
      </c>
      <c r="C2" s="6">
        <v>61</v>
      </c>
      <c r="D2" s="6">
        <v>48</v>
      </c>
      <c r="E2" s="6">
        <v>76</v>
      </c>
      <c r="F2" s="7">
        <v>43101</v>
      </c>
      <c r="G2" s="33">
        <f t="shared" ref="G2:G21" si="0">AVERAGE(C2:E2)</f>
        <v>61.6666666666667</v>
      </c>
      <c r="H2" s="34" t="str">
        <f t="shared" ref="H2:H21" si="1">IF(G2&gt;=80,"A",IF(G2&gt;=60,"B","C"))</f>
        <v>B</v>
      </c>
      <c r="I2" s="34" t="str">
        <f t="shared" ref="I2:I21" si="2">IF(AND(C2&gt;80,D2&gt;80),"YES","NO")</f>
        <v>NO</v>
      </c>
      <c r="J2" s="34" t="str">
        <f t="shared" ref="J2:J21" si="3">IF(AND(C2&lt;80,D2&lt;80),"YES","NO")</f>
        <v>YES</v>
      </c>
      <c r="K2" s="34" t="str">
        <f t="shared" ref="K2:K21" si="4">IF(OR(C2&lt;50,D2&lt;50,E2&lt;50),"PASS","FAIL")</f>
        <v>PASS</v>
      </c>
      <c r="L2" s="42"/>
      <c r="M2" s="10"/>
      <c r="N2" s="10"/>
      <c r="O2" s="10"/>
      <c r="P2" s="10"/>
      <c r="Q2" s="10"/>
      <c r="R2" s="10"/>
      <c r="S2" s="10"/>
      <c r="T2" s="10"/>
      <c r="U2" s="10"/>
      <c r="V2" s="10"/>
      <c r="W2" s="10"/>
      <c r="X2" s="10"/>
      <c r="Y2" s="10"/>
      <c r="Z2" s="10"/>
    </row>
    <row r="3" ht="14.4" customHeight="1" spans="1:26">
      <c r="A3" s="6">
        <v>1002</v>
      </c>
      <c r="B3" s="6" t="s">
        <v>53</v>
      </c>
      <c r="C3" s="6">
        <v>78</v>
      </c>
      <c r="D3" s="6">
        <v>76</v>
      </c>
      <c r="E3" s="6">
        <v>70</v>
      </c>
      <c r="F3" s="7">
        <v>43281</v>
      </c>
      <c r="G3" s="8">
        <f t="shared" si="0"/>
        <v>74.6666666666667</v>
      </c>
      <c r="H3" s="9" t="str">
        <f t="shared" si="1"/>
        <v>B</v>
      </c>
      <c r="I3" s="9" t="str">
        <f t="shared" si="2"/>
        <v>NO</v>
      </c>
      <c r="J3" s="9" t="str">
        <f t="shared" si="3"/>
        <v>YES</v>
      </c>
      <c r="K3" s="9" t="str">
        <f t="shared" si="4"/>
        <v>FAIL</v>
      </c>
      <c r="L3" s="42"/>
      <c r="M3" s="10"/>
      <c r="N3" s="10"/>
      <c r="O3" s="10"/>
      <c r="P3" s="10"/>
      <c r="Q3" s="10"/>
      <c r="R3" s="10"/>
      <c r="S3" s="10"/>
      <c r="T3" s="10"/>
      <c r="U3" s="10"/>
      <c r="V3" s="10"/>
      <c r="W3" s="10"/>
      <c r="X3" s="10"/>
      <c r="Y3" s="10"/>
      <c r="Z3" s="10"/>
    </row>
    <row r="4" ht="14.4" spans="1:26">
      <c r="A4" s="6">
        <v>1003</v>
      </c>
      <c r="B4" s="6" t="s">
        <v>54</v>
      </c>
      <c r="C4" s="6">
        <v>97</v>
      </c>
      <c r="D4" s="6">
        <v>60</v>
      </c>
      <c r="E4" s="6">
        <v>51</v>
      </c>
      <c r="F4" s="7">
        <v>43461</v>
      </c>
      <c r="G4" s="8">
        <f t="shared" si="0"/>
        <v>69.3333333333333</v>
      </c>
      <c r="H4" s="9" t="str">
        <f t="shared" si="1"/>
        <v>B</v>
      </c>
      <c r="I4" s="9" t="str">
        <f t="shared" si="2"/>
        <v>NO</v>
      </c>
      <c r="J4" s="9" t="str">
        <f t="shared" si="3"/>
        <v>NO</v>
      </c>
      <c r="K4" s="9" t="str">
        <f t="shared" si="4"/>
        <v>FAIL</v>
      </c>
      <c r="L4" s="42"/>
      <c r="M4" s="10"/>
      <c r="N4" s="10"/>
      <c r="O4" s="10"/>
      <c r="P4" s="10"/>
      <c r="Q4" s="10"/>
      <c r="R4" s="10"/>
      <c r="S4" s="10"/>
      <c r="T4" s="10"/>
      <c r="U4" s="10"/>
      <c r="V4" s="10"/>
      <c r="W4" s="10"/>
      <c r="X4" s="10"/>
      <c r="Y4" s="10"/>
      <c r="Z4" s="10"/>
    </row>
    <row r="5" ht="14.4" spans="1:26">
      <c r="A5" s="6">
        <v>1004</v>
      </c>
      <c r="B5" s="6" t="s">
        <v>55</v>
      </c>
      <c r="C5" s="6">
        <v>74</v>
      </c>
      <c r="D5" s="6">
        <v>55</v>
      </c>
      <c r="E5" s="6">
        <v>46</v>
      </c>
      <c r="F5" s="7">
        <v>43641</v>
      </c>
      <c r="G5" s="8">
        <f t="shared" si="0"/>
        <v>58.3333333333333</v>
      </c>
      <c r="H5" s="9" t="str">
        <f t="shared" si="1"/>
        <v>C</v>
      </c>
      <c r="I5" s="9" t="str">
        <f t="shared" si="2"/>
        <v>NO</v>
      </c>
      <c r="J5" s="9" t="str">
        <f t="shared" si="3"/>
        <v>YES</v>
      </c>
      <c r="K5" s="9" t="str">
        <f t="shared" si="4"/>
        <v>PASS</v>
      </c>
      <c r="L5" s="42"/>
      <c r="M5" s="10"/>
      <c r="N5" s="10"/>
      <c r="O5" s="10"/>
      <c r="P5" s="10"/>
      <c r="Q5" s="10"/>
      <c r="R5" s="10"/>
      <c r="S5" s="10"/>
      <c r="T5" s="10"/>
      <c r="U5" s="10"/>
      <c r="V5" s="10"/>
      <c r="W5" s="10"/>
      <c r="X5" s="10"/>
      <c r="Y5" s="10"/>
      <c r="Z5" s="10"/>
    </row>
    <row r="6" ht="14.4" spans="1:26">
      <c r="A6" s="6">
        <v>1005</v>
      </c>
      <c r="B6" s="6" t="s">
        <v>56</v>
      </c>
      <c r="C6" s="6">
        <v>68</v>
      </c>
      <c r="D6" s="6">
        <v>74</v>
      </c>
      <c r="E6" s="6">
        <v>84</v>
      </c>
      <c r="F6" s="7">
        <v>43821</v>
      </c>
      <c r="G6" s="8">
        <f t="shared" si="0"/>
        <v>75.3333333333333</v>
      </c>
      <c r="H6" s="9" t="str">
        <f t="shared" si="1"/>
        <v>B</v>
      </c>
      <c r="I6" s="9" t="str">
        <f t="shared" si="2"/>
        <v>NO</v>
      </c>
      <c r="J6" s="9" t="str">
        <f t="shared" si="3"/>
        <v>YES</v>
      </c>
      <c r="K6" s="9" t="str">
        <f t="shared" si="4"/>
        <v>FAIL</v>
      </c>
      <c r="L6" s="42"/>
      <c r="M6" s="10"/>
      <c r="N6" s="10"/>
      <c r="O6" s="10"/>
      <c r="P6" s="10"/>
      <c r="Q6" s="10"/>
      <c r="R6" s="10"/>
      <c r="S6" s="10"/>
      <c r="T6" s="10"/>
      <c r="U6" s="10"/>
      <c r="V6" s="10"/>
      <c r="W6" s="10"/>
      <c r="X6" s="10"/>
      <c r="Y6" s="10"/>
      <c r="Z6" s="10"/>
    </row>
    <row r="7" ht="14.4" spans="1:26">
      <c r="A7" s="6">
        <v>1006</v>
      </c>
      <c r="B7" s="6" t="s">
        <v>57</v>
      </c>
      <c r="C7" s="6">
        <v>80</v>
      </c>
      <c r="D7" s="6">
        <v>70</v>
      </c>
      <c r="E7" s="6">
        <v>65</v>
      </c>
      <c r="F7" s="7">
        <v>44001</v>
      </c>
      <c r="G7" s="8">
        <f t="shared" si="0"/>
        <v>71.6666666666667</v>
      </c>
      <c r="H7" s="9" t="str">
        <f t="shared" si="1"/>
        <v>B</v>
      </c>
      <c r="I7" s="9" t="str">
        <f t="shared" si="2"/>
        <v>NO</v>
      </c>
      <c r="J7" s="9" t="str">
        <f t="shared" si="3"/>
        <v>NO</v>
      </c>
      <c r="K7" s="9" t="str">
        <f t="shared" si="4"/>
        <v>FAIL</v>
      </c>
      <c r="L7" s="42"/>
      <c r="M7" s="10"/>
      <c r="N7" s="10"/>
      <c r="O7" s="10"/>
      <c r="P7" s="10"/>
      <c r="Q7" s="10"/>
      <c r="R7" s="10"/>
      <c r="S7" s="10"/>
      <c r="T7" s="10"/>
      <c r="U7" s="10"/>
      <c r="V7" s="10"/>
      <c r="W7" s="10"/>
      <c r="X7" s="10"/>
      <c r="Y7" s="10"/>
      <c r="Z7" s="10"/>
    </row>
    <row r="8" ht="14.4" spans="1:26">
      <c r="A8" s="6">
        <v>1007</v>
      </c>
      <c r="B8" s="6" t="s">
        <v>58</v>
      </c>
      <c r="C8" s="6">
        <v>75</v>
      </c>
      <c r="D8" s="6">
        <v>47</v>
      </c>
      <c r="E8" s="6">
        <v>78</v>
      </c>
      <c r="F8" s="7">
        <v>44181</v>
      </c>
      <c r="G8" s="8">
        <f t="shared" si="0"/>
        <v>66.6666666666667</v>
      </c>
      <c r="H8" s="9" t="str">
        <f t="shared" si="1"/>
        <v>B</v>
      </c>
      <c r="I8" s="9" t="str">
        <f t="shared" si="2"/>
        <v>NO</v>
      </c>
      <c r="J8" s="9" t="str">
        <f t="shared" si="3"/>
        <v>YES</v>
      </c>
      <c r="K8" s="9" t="str">
        <f t="shared" si="4"/>
        <v>PASS</v>
      </c>
      <c r="L8" s="42"/>
      <c r="M8" s="10"/>
      <c r="N8" s="10"/>
      <c r="O8" s="10"/>
      <c r="P8" s="10"/>
      <c r="Q8" s="10"/>
      <c r="R8" s="10"/>
      <c r="S8" s="10"/>
      <c r="T8" s="10"/>
      <c r="U8" s="10"/>
      <c r="V8" s="10"/>
      <c r="W8" s="10"/>
      <c r="X8" s="10"/>
      <c r="Y8" s="10"/>
      <c r="Z8" s="10"/>
    </row>
    <row r="9" ht="14.4" spans="1:26">
      <c r="A9" s="6">
        <v>1008</v>
      </c>
      <c r="B9" s="6" t="s">
        <v>59</v>
      </c>
      <c r="C9" s="6">
        <v>94</v>
      </c>
      <c r="D9" s="6">
        <v>67</v>
      </c>
      <c r="E9" s="6">
        <v>64</v>
      </c>
      <c r="F9" s="7">
        <v>44361</v>
      </c>
      <c r="G9" s="8">
        <f t="shared" si="0"/>
        <v>75</v>
      </c>
      <c r="H9" s="9" t="str">
        <f t="shared" si="1"/>
        <v>B</v>
      </c>
      <c r="I9" s="9" t="str">
        <f t="shared" si="2"/>
        <v>NO</v>
      </c>
      <c r="J9" s="9" t="str">
        <f t="shared" si="3"/>
        <v>NO</v>
      </c>
      <c r="K9" s="9" t="str">
        <f t="shared" si="4"/>
        <v>FAIL</v>
      </c>
      <c r="L9" s="42"/>
      <c r="M9" s="10"/>
      <c r="N9" s="10"/>
      <c r="O9" s="10"/>
      <c r="P9" s="10"/>
      <c r="Q9" s="10"/>
      <c r="R9" s="10"/>
      <c r="S9" s="10"/>
      <c r="T9" s="10"/>
      <c r="U9" s="10"/>
      <c r="V9" s="10"/>
      <c r="W9" s="10"/>
      <c r="X9" s="10"/>
      <c r="Y9" s="10"/>
      <c r="Z9" s="10"/>
    </row>
    <row r="10" ht="14.4" spans="1:26">
      <c r="A10" s="6">
        <v>1009</v>
      </c>
      <c r="B10" s="6" t="s">
        <v>60</v>
      </c>
      <c r="C10" s="6">
        <v>41</v>
      </c>
      <c r="D10" s="6">
        <v>75</v>
      </c>
      <c r="E10" s="6">
        <v>56</v>
      </c>
      <c r="F10" s="7">
        <v>44541</v>
      </c>
      <c r="G10" s="8">
        <f t="shared" si="0"/>
        <v>57.3333333333333</v>
      </c>
      <c r="H10" s="9" t="str">
        <f t="shared" si="1"/>
        <v>C</v>
      </c>
      <c r="I10" s="9" t="str">
        <f t="shared" si="2"/>
        <v>NO</v>
      </c>
      <c r="J10" s="9" t="str">
        <f t="shared" si="3"/>
        <v>YES</v>
      </c>
      <c r="K10" s="9" t="str">
        <f t="shared" si="4"/>
        <v>PASS</v>
      </c>
      <c r="L10" s="42"/>
      <c r="M10" s="10"/>
      <c r="N10" s="10"/>
      <c r="O10" s="10"/>
      <c r="P10" s="10"/>
      <c r="Q10" s="10"/>
      <c r="R10" s="10"/>
      <c r="S10" s="10"/>
      <c r="T10" s="10"/>
      <c r="U10" s="10"/>
      <c r="V10" s="10"/>
      <c r="W10" s="10"/>
      <c r="X10" s="10"/>
      <c r="Y10" s="10"/>
      <c r="Z10" s="10"/>
    </row>
    <row r="11" ht="14.4" spans="1:26">
      <c r="A11" s="6">
        <v>1010</v>
      </c>
      <c r="B11" s="6" t="s">
        <v>61</v>
      </c>
      <c r="C11" s="6">
        <v>98</v>
      </c>
      <c r="D11" s="6">
        <v>54</v>
      </c>
      <c r="E11" s="6">
        <v>58</v>
      </c>
      <c r="F11" s="7">
        <v>44721</v>
      </c>
      <c r="G11" s="8">
        <f t="shared" si="0"/>
        <v>70</v>
      </c>
      <c r="H11" s="9" t="str">
        <f t="shared" si="1"/>
        <v>B</v>
      </c>
      <c r="I11" s="9" t="str">
        <f t="shared" si="2"/>
        <v>NO</v>
      </c>
      <c r="J11" s="9" t="str">
        <f t="shared" si="3"/>
        <v>NO</v>
      </c>
      <c r="K11" s="9" t="str">
        <f t="shared" si="4"/>
        <v>FAIL</v>
      </c>
      <c r="L11" s="42"/>
      <c r="M11" s="10"/>
      <c r="N11" s="10"/>
      <c r="O11" s="10"/>
      <c r="P11" s="10"/>
      <c r="Q11" s="10"/>
      <c r="R11" s="10"/>
      <c r="S11" s="10"/>
      <c r="T11" s="10"/>
      <c r="U11" s="10"/>
      <c r="V11" s="10"/>
      <c r="W11" s="10"/>
      <c r="X11" s="10"/>
      <c r="Y11" s="10"/>
      <c r="Z11" s="10"/>
    </row>
    <row r="12" ht="14.4" spans="1:26">
      <c r="A12" s="6">
        <v>1011</v>
      </c>
      <c r="B12" s="6" t="s">
        <v>62</v>
      </c>
      <c r="C12" s="6">
        <v>73</v>
      </c>
      <c r="D12" s="6">
        <v>79</v>
      </c>
      <c r="E12" s="6">
        <v>53</v>
      </c>
      <c r="F12" s="7">
        <v>44901</v>
      </c>
      <c r="G12" s="8">
        <f t="shared" si="0"/>
        <v>68.3333333333333</v>
      </c>
      <c r="H12" s="9" t="str">
        <f t="shared" si="1"/>
        <v>B</v>
      </c>
      <c r="I12" s="9" t="str">
        <f t="shared" si="2"/>
        <v>NO</v>
      </c>
      <c r="J12" s="9" t="str">
        <f t="shared" si="3"/>
        <v>YES</v>
      </c>
      <c r="K12" s="9" t="str">
        <f t="shared" si="4"/>
        <v>FAIL</v>
      </c>
      <c r="L12" s="42"/>
      <c r="M12" s="10"/>
      <c r="N12" s="10"/>
      <c r="O12" s="10"/>
      <c r="P12" s="10"/>
      <c r="Q12" s="10"/>
      <c r="R12" s="10"/>
      <c r="S12" s="10"/>
      <c r="T12" s="10"/>
      <c r="U12" s="10"/>
      <c r="V12" s="10"/>
      <c r="W12" s="10"/>
      <c r="X12" s="10"/>
      <c r="Y12" s="10"/>
      <c r="Z12" s="10"/>
    </row>
    <row r="13" ht="14.4" spans="1:26">
      <c r="A13" s="6">
        <v>1012</v>
      </c>
      <c r="B13" s="6" t="s">
        <v>63</v>
      </c>
      <c r="C13" s="6">
        <v>85</v>
      </c>
      <c r="D13" s="6">
        <v>89</v>
      </c>
      <c r="E13" s="6">
        <v>79</v>
      </c>
      <c r="F13" s="7">
        <v>45081</v>
      </c>
      <c r="G13" s="8">
        <f t="shared" si="0"/>
        <v>84.3333333333333</v>
      </c>
      <c r="H13" s="9" t="str">
        <f t="shared" si="1"/>
        <v>A</v>
      </c>
      <c r="I13" s="9" t="str">
        <f t="shared" si="2"/>
        <v>YES</v>
      </c>
      <c r="J13" s="9" t="str">
        <f t="shared" si="3"/>
        <v>NO</v>
      </c>
      <c r="K13" s="9" t="str">
        <f t="shared" si="4"/>
        <v>FAIL</v>
      </c>
      <c r="L13" s="42"/>
      <c r="M13" s="10"/>
      <c r="N13" s="10"/>
      <c r="O13" s="10"/>
      <c r="P13" s="10"/>
      <c r="Q13" s="10"/>
      <c r="R13" s="10"/>
      <c r="S13" s="10"/>
      <c r="T13" s="10"/>
      <c r="U13" s="10"/>
      <c r="V13" s="10"/>
      <c r="W13" s="10"/>
      <c r="X13" s="10"/>
      <c r="Y13" s="10"/>
      <c r="Z13" s="10"/>
    </row>
    <row r="14" ht="14.4" spans="1:26">
      <c r="A14" s="6">
        <v>1013</v>
      </c>
      <c r="B14" s="6" t="s">
        <v>64</v>
      </c>
      <c r="C14" s="6">
        <v>98</v>
      </c>
      <c r="D14" s="6">
        <v>90</v>
      </c>
      <c r="E14" s="6">
        <v>97</v>
      </c>
      <c r="F14" s="7">
        <v>45261</v>
      </c>
      <c r="G14" s="8">
        <f t="shared" si="0"/>
        <v>95</v>
      </c>
      <c r="H14" s="9" t="str">
        <f t="shared" si="1"/>
        <v>A</v>
      </c>
      <c r="I14" s="9" t="str">
        <f t="shared" si="2"/>
        <v>YES</v>
      </c>
      <c r="J14" s="9" t="str">
        <f t="shared" si="3"/>
        <v>NO</v>
      </c>
      <c r="K14" s="9" t="str">
        <f t="shared" si="4"/>
        <v>FAIL</v>
      </c>
      <c r="L14" s="42"/>
      <c r="M14" s="10"/>
      <c r="N14" s="10"/>
      <c r="O14" s="10"/>
      <c r="P14" s="10"/>
      <c r="Q14" s="10"/>
      <c r="R14" s="10"/>
      <c r="S14" s="10"/>
      <c r="T14" s="10"/>
      <c r="U14" s="10"/>
      <c r="V14" s="10"/>
      <c r="W14" s="10"/>
      <c r="X14" s="10"/>
      <c r="Y14" s="10"/>
      <c r="Z14" s="10"/>
    </row>
    <row r="15" ht="14.4" spans="1:26">
      <c r="A15" s="6">
        <v>1014</v>
      </c>
      <c r="B15" s="6" t="s">
        <v>65</v>
      </c>
      <c r="C15" s="6">
        <v>93</v>
      </c>
      <c r="D15" s="6">
        <v>40</v>
      </c>
      <c r="E15" s="6">
        <v>44</v>
      </c>
      <c r="F15" s="7">
        <v>45441</v>
      </c>
      <c r="G15" s="8">
        <f t="shared" si="0"/>
        <v>59</v>
      </c>
      <c r="H15" s="9" t="str">
        <f t="shared" si="1"/>
        <v>C</v>
      </c>
      <c r="I15" s="9" t="str">
        <f t="shared" si="2"/>
        <v>NO</v>
      </c>
      <c r="J15" s="9" t="str">
        <f t="shared" si="3"/>
        <v>NO</v>
      </c>
      <c r="K15" s="9" t="str">
        <f t="shared" si="4"/>
        <v>PASS</v>
      </c>
      <c r="L15" s="42"/>
      <c r="M15" s="10"/>
      <c r="N15" s="10"/>
      <c r="O15" s="10"/>
      <c r="P15" s="10"/>
      <c r="Q15" s="10"/>
      <c r="R15" s="10"/>
      <c r="S15" s="10"/>
      <c r="T15" s="10"/>
      <c r="U15" s="10"/>
      <c r="V15" s="10"/>
      <c r="W15" s="10"/>
      <c r="X15" s="10"/>
      <c r="Y15" s="10"/>
      <c r="Z15" s="10"/>
    </row>
    <row r="16" ht="14.4" spans="1:26">
      <c r="A16" s="6">
        <v>1015</v>
      </c>
      <c r="B16" s="6" t="s">
        <v>66</v>
      </c>
      <c r="C16" s="6">
        <v>70</v>
      </c>
      <c r="D16" s="6">
        <v>51</v>
      </c>
      <c r="E16" s="6">
        <v>75</v>
      </c>
      <c r="F16" s="7">
        <v>45621</v>
      </c>
      <c r="G16" s="8">
        <f t="shared" si="0"/>
        <v>65.3333333333333</v>
      </c>
      <c r="H16" s="9" t="str">
        <f t="shared" si="1"/>
        <v>B</v>
      </c>
      <c r="I16" s="9" t="str">
        <f t="shared" si="2"/>
        <v>NO</v>
      </c>
      <c r="J16" s="9" t="str">
        <f t="shared" si="3"/>
        <v>YES</v>
      </c>
      <c r="K16" s="9" t="str">
        <f t="shared" si="4"/>
        <v>FAIL</v>
      </c>
      <c r="L16" s="42"/>
      <c r="M16" s="10"/>
      <c r="N16" s="10"/>
      <c r="O16" s="10"/>
      <c r="P16" s="10"/>
      <c r="Q16" s="10"/>
      <c r="R16" s="10"/>
      <c r="S16" s="10"/>
      <c r="T16" s="10"/>
      <c r="U16" s="10"/>
      <c r="V16" s="10"/>
      <c r="W16" s="10"/>
      <c r="X16" s="10"/>
      <c r="Y16" s="10"/>
      <c r="Z16" s="10"/>
    </row>
    <row r="17" ht="14.4" spans="1:26">
      <c r="A17" s="6">
        <v>1016</v>
      </c>
      <c r="B17" s="6" t="s">
        <v>67</v>
      </c>
      <c r="C17" s="6">
        <v>98</v>
      </c>
      <c r="D17" s="6">
        <v>77</v>
      </c>
      <c r="E17" s="6">
        <v>60</v>
      </c>
      <c r="F17" s="7">
        <v>45801</v>
      </c>
      <c r="G17" s="8">
        <f t="shared" si="0"/>
        <v>78.3333333333333</v>
      </c>
      <c r="H17" s="9" t="str">
        <f t="shared" si="1"/>
        <v>B</v>
      </c>
      <c r="I17" s="9" t="str">
        <f t="shared" si="2"/>
        <v>NO</v>
      </c>
      <c r="J17" s="9" t="str">
        <f t="shared" si="3"/>
        <v>NO</v>
      </c>
      <c r="K17" s="9" t="str">
        <f t="shared" si="4"/>
        <v>FAIL</v>
      </c>
      <c r="L17" s="42"/>
      <c r="M17" s="10"/>
      <c r="N17" s="10"/>
      <c r="O17" s="10"/>
      <c r="P17" s="10"/>
      <c r="Q17" s="10"/>
      <c r="R17" s="10"/>
      <c r="S17" s="10"/>
      <c r="T17" s="10"/>
      <c r="U17" s="10"/>
      <c r="V17" s="10"/>
      <c r="W17" s="10"/>
      <c r="X17" s="10"/>
      <c r="Y17" s="10"/>
      <c r="Z17" s="10"/>
    </row>
    <row r="18" ht="14.4" spans="1:26">
      <c r="A18" s="6">
        <v>1017</v>
      </c>
      <c r="B18" s="6" t="s">
        <v>68</v>
      </c>
      <c r="C18" s="6">
        <v>66</v>
      </c>
      <c r="D18" s="6">
        <v>59</v>
      </c>
      <c r="E18" s="6">
        <v>40</v>
      </c>
      <c r="F18" s="7">
        <v>45981</v>
      </c>
      <c r="G18" s="8">
        <f t="shared" si="0"/>
        <v>55</v>
      </c>
      <c r="H18" s="9" t="str">
        <f t="shared" si="1"/>
        <v>C</v>
      </c>
      <c r="I18" s="9" t="str">
        <f t="shared" si="2"/>
        <v>NO</v>
      </c>
      <c r="J18" s="9" t="str">
        <f t="shared" si="3"/>
        <v>YES</v>
      </c>
      <c r="K18" s="9" t="str">
        <f t="shared" si="4"/>
        <v>PASS</v>
      </c>
      <c r="L18" s="42"/>
      <c r="M18" s="10"/>
      <c r="N18" s="10"/>
      <c r="O18" s="10"/>
      <c r="P18" s="10"/>
      <c r="Q18" s="10"/>
      <c r="R18" s="10"/>
      <c r="S18" s="10"/>
      <c r="T18" s="10"/>
      <c r="U18" s="10"/>
      <c r="V18" s="10"/>
      <c r="W18" s="10"/>
      <c r="X18" s="10"/>
      <c r="Y18" s="10"/>
      <c r="Z18" s="10"/>
    </row>
    <row r="19" ht="14.4" spans="1:26">
      <c r="A19" s="6">
        <v>1018</v>
      </c>
      <c r="B19" s="6" t="s">
        <v>69</v>
      </c>
      <c r="C19" s="6">
        <v>82</v>
      </c>
      <c r="D19" s="6">
        <v>48</v>
      </c>
      <c r="E19" s="6">
        <v>79</v>
      </c>
      <c r="F19" s="7">
        <v>46161</v>
      </c>
      <c r="G19" s="8">
        <f t="shared" si="0"/>
        <v>69.6666666666667</v>
      </c>
      <c r="H19" s="9" t="str">
        <f t="shared" si="1"/>
        <v>B</v>
      </c>
      <c r="I19" s="9" t="str">
        <f t="shared" si="2"/>
        <v>NO</v>
      </c>
      <c r="J19" s="9" t="str">
        <f t="shared" si="3"/>
        <v>NO</v>
      </c>
      <c r="K19" s="9" t="str">
        <f t="shared" si="4"/>
        <v>PASS</v>
      </c>
      <c r="L19" s="42"/>
      <c r="M19" s="10"/>
      <c r="N19" s="10"/>
      <c r="O19" s="10"/>
      <c r="P19" s="10"/>
      <c r="Q19" s="10"/>
      <c r="R19" s="10"/>
      <c r="S19" s="10"/>
      <c r="T19" s="10"/>
      <c r="U19" s="10"/>
      <c r="V19" s="10"/>
      <c r="W19" s="10"/>
      <c r="X19" s="10"/>
      <c r="Y19" s="10"/>
      <c r="Z19" s="10"/>
    </row>
    <row r="20" ht="14.4" spans="1:26">
      <c r="A20" s="6">
        <v>1019</v>
      </c>
      <c r="B20" s="6" t="s">
        <v>70</v>
      </c>
      <c r="C20" s="6">
        <v>90</v>
      </c>
      <c r="D20" s="6">
        <v>78</v>
      </c>
      <c r="E20" s="6">
        <v>60</v>
      </c>
      <c r="F20" s="7">
        <v>46341</v>
      </c>
      <c r="G20" s="8">
        <f t="shared" si="0"/>
        <v>76</v>
      </c>
      <c r="H20" s="9" t="str">
        <f t="shared" si="1"/>
        <v>B</v>
      </c>
      <c r="I20" s="9" t="str">
        <f t="shared" si="2"/>
        <v>NO</v>
      </c>
      <c r="J20" s="9" t="str">
        <f t="shared" si="3"/>
        <v>NO</v>
      </c>
      <c r="K20" s="9" t="str">
        <f t="shared" si="4"/>
        <v>FAIL</v>
      </c>
      <c r="L20" s="42"/>
      <c r="M20" s="10"/>
      <c r="N20" s="10"/>
      <c r="O20" s="10"/>
      <c r="P20" s="10"/>
      <c r="Q20" s="10"/>
      <c r="R20" s="10"/>
      <c r="S20" s="10"/>
      <c r="T20" s="10"/>
      <c r="U20" s="10"/>
      <c r="V20" s="10"/>
      <c r="W20" s="10"/>
      <c r="X20" s="10"/>
      <c r="Y20" s="10"/>
      <c r="Z20" s="10"/>
    </row>
    <row r="21" ht="15.75" customHeight="1" spans="1:26">
      <c r="A21" s="6">
        <v>1020</v>
      </c>
      <c r="B21" s="6" t="s">
        <v>71</v>
      </c>
      <c r="C21" s="6">
        <v>83</v>
      </c>
      <c r="D21" s="6">
        <v>92</v>
      </c>
      <c r="E21" s="6">
        <v>55</v>
      </c>
      <c r="F21" s="7">
        <v>46521</v>
      </c>
      <c r="G21" s="8">
        <f t="shared" si="0"/>
        <v>76.6666666666667</v>
      </c>
      <c r="H21" s="9" t="str">
        <f t="shared" si="1"/>
        <v>B</v>
      </c>
      <c r="I21" s="9" t="str">
        <f t="shared" si="2"/>
        <v>YES</v>
      </c>
      <c r="J21" s="9" t="str">
        <f t="shared" si="3"/>
        <v>NO</v>
      </c>
      <c r="K21" s="9" t="str">
        <f t="shared" si="4"/>
        <v>FAIL</v>
      </c>
      <c r="L21" s="42"/>
      <c r="M21" s="10"/>
      <c r="N21" s="10"/>
      <c r="O21" s="10"/>
      <c r="P21" s="10"/>
      <c r="Q21" s="10"/>
      <c r="R21" s="10"/>
      <c r="S21" s="10"/>
      <c r="T21" s="10"/>
      <c r="U21" s="10"/>
      <c r="V21" s="10"/>
      <c r="W21" s="10"/>
      <c r="X21" s="10"/>
      <c r="Y21" s="10"/>
      <c r="Z21" s="10"/>
    </row>
    <row r="22" ht="15.75" customHeight="1" spans="1:2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spans="1:2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spans="8:26">
      <c r="H24" s="10"/>
      <c r="I24" s="10"/>
      <c r="J24" s="10"/>
      <c r="K24" s="10"/>
      <c r="L24" s="10"/>
      <c r="M24" s="10"/>
      <c r="N24" s="10"/>
      <c r="O24" s="10"/>
      <c r="P24" s="10"/>
      <c r="Q24" s="10"/>
      <c r="R24" s="10"/>
      <c r="S24" s="10"/>
      <c r="T24" s="10"/>
      <c r="U24" s="10"/>
      <c r="V24" s="10"/>
      <c r="W24" s="10"/>
      <c r="X24" s="10"/>
      <c r="Y24" s="10"/>
      <c r="Z24" s="10"/>
    </row>
    <row r="25" ht="15.75" customHeight="1" spans="1:26">
      <c r="A25" s="35" t="s">
        <v>72</v>
      </c>
      <c r="B25" s="35"/>
      <c r="C25" s="35"/>
      <c r="D25" s="35"/>
      <c r="E25" s="35"/>
      <c r="F25" s="35"/>
      <c r="H25" s="10"/>
      <c r="I25" s="10"/>
      <c r="J25" s="10"/>
      <c r="K25" s="10"/>
      <c r="L25" s="10"/>
      <c r="M25" s="10"/>
      <c r="N25" s="10"/>
      <c r="O25" s="10"/>
      <c r="P25" s="10"/>
      <c r="Q25" s="10"/>
      <c r="R25" s="10"/>
      <c r="S25" s="10"/>
      <c r="T25" s="10"/>
      <c r="U25" s="10"/>
      <c r="V25" s="10"/>
      <c r="W25" s="10"/>
      <c r="X25" s="10"/>
      <c r="Y25" s="10"/>
      <c r="Z25" s="10"/>
    </row>
    <row r="26" ht="15.75" customHeight="1" spans="1:26">
      <c r="A26" s="21" t="s">
        <v>73</v>
      </c>
      <c r="B26" s="36"/>
      <c r="C26" s="36"/>
      <c r="D26" s="36"/>
      <c r="E26" s="36"/>
      <c r="F26" s="25">
        <f>COUNTIF(C2:C21,"&gt;60")</f>
        <v>19</v>
      </c>
      <c r="J26" s="10"/>
      <c r="K26" s="10"/>
      <c r="L26" s="10"/>
      <c r="M26" s="10"/>
      <c r="N26" s="10"/>
      <c r="O26" s="10"/>
      <c r="P26" s="10"/>
      <c r="Q26" s="10"/>
      <c r="R26" s="10"/>
      <c r="S26" s="10"/>
      <c r="T26" s="10"/>
      <c r="U26" s="10"/>
      <c r="V26" s="10"/>
      <c r="W26" s="10"/>
      <c r="X26" s="10"/>
      <c r="Y26" s="10"/>
      <c r="Z26" s="10"/>
    </row>
    <row r="27" ht="15.75" customHeight="1" spans="1:26">
      <c r="A27" s="21" t="s">
        <v>74</v>
      </c>
      <c r="B27" s="36"/>
      <c r="C27" s="36"/>
      <c r="D27" s="36"/>
      <c r="E27" s="36"/>
      <c r="F27" s="25">
        <f>COUNTIF(D2:D21,"&gt;60")</f>
        <v>11</v>
      </c>
      <c r="J27" s="10"/>
      <c r="K27" s="10"/>
      <c r="L27" s="10"/>
      <c r="M27" s="10"/>
      <c r="N27" s="10"/>
      <c r="O27" s="10"/>
      <c r="P27" s="10"/>
      <c r="Q27" s="10"/>
      <c r="R27" s="10"/>
      <c r="S27" s="10"/>
      <c r="T27" s="10"/>
      <c r="U27" s="10"/>
      <c r="V27" s="10"/>
      <c r="W27" s="10"/>
      <c r="X27" s="10"/>
      <c r="Y27" s="10"/>
      <c r="Z27" s="10"/>
    </row>
    <row r="28" ht="15.75" customHeight="1" spans="1:26">
      <c r="A28" s="21" t="s">
        <v>75</v>
      </c>
      <c r="B28" s="36"/>
      <c r="C28" s="36"/>
      <c r="D28" s="36"/>
      <c r="E28" s="36"/>
      <c r="F28" s="25">
        <f>COUNTIF(E2:E21,"&gt;60")</f>
        <v>10</v>
      </c>
      <c r="H28" s="10"/>
      <c r="I28" s="10"/>
      <c r="J28" s="10"/>
      <c r="K28" s="10"/>
      <c r="L28" s="10"/>
      <c r="M28" s="10"/>
      <c r="N28" s="10"/>
      <c r="O28" s="10"/>
      <c r="P28" s="10"/>
      <c r="Q28" s="10"/>
      <c r="R28" s="10"/>
      <c r="S28" s="10"/>
      <c r="T28" s="10"/>
      <c r="U28" s="10"/>
      <c r="V28" s="10"/>
      <c r="W28" s="10"/>
      <c r="X28" s="10"/>
      <c r="Y28" s="10"/>
      <c r="Z28" s="10"/>
    </row>
    <row r="29" ht="15.75" customHeight="1" spans="1:26">
      <c r="A29" s="37" t="s">
        <v>76</v>
      </c>
      <c r="B29" s="36"/>
      <c r="C29" s="36"/>
      <c r="D29" s="36"/>
      <c r="E29" s="36"/>
      <c r="F29" s="38">
        <f>COUNTIFS(C2:C21,"&gt;60",D2:D21,"&gt;60",E2:E21,"&gt;60")</f>
        <v>6</v>
      </c>
      <c r="H29" s="10"/>
      <c r="I29" s="10"/>
      <c r="J29" s="10"/>
      <c r="K29" s="10"/>
      <c r="L29" s="10"/>
      <c r="M29" s="10"/>
      <c r="N29" s="10"/>
      <c r="O29" s="10"/>
      <c r="P29" s="10"/>
      <c r="Q29" s="10"/>
      <c r="R29" s="10"/>
      <c r="S29" s="10"/>
      <c r="T29" s="10"/>
      <c r="U29" s="10"/>
      <c r="V29" s="10"/>
      <c r="W29" s="10"/>
      <c r="X29" s="10"/>
      <c r="Y29" s="10"/>
      <c r="Z29" s="10"/>
    </row>
    <row r="30" ht="15.75" customHeight="1" spans="1:26">
      <c r="A30" s="21" t="s">
        <v>77</v>
      </c>
      <c r="B30" s="36"/>
      <c r="C30" s="36"/>
      <c r="D30" s="36"/>
      <c r="E30" s="36"/>
      <c r="F30" s="25">
        <f>COUNTIF(G2:G21,"&gt;60")</f>
        <v>16</v>
      </c>
      <c r="J30" s="10"/>
      <c r="K30" s="10"/>
      <c r="L30" s="10"/>
      <c r="M30" s="10"/>
      <c r="N30" s="10"/>
      <c r="O30" s="10"/>
      <c r="P30" s="10"/>
      <c r="Q30" s="10"/>
      <c r="R30" s="10"/>
      <c r="S30" s="10"/>
      <c r="T30" s="10"/>
      <c r="U30" s="10"/>
      <c r="V30" s="10"/>
      <c r="W30" s="10"/>
      <c r="X30" s="10"/>
      <c r="Y30" s="10"/>
      <c r="Z30" s="10"/>
    </row>
    <row r="31" ht="15.75" customHeight="1" spans="1:26">
      <c r="A31" s="21" t="s">
        <v>78</v>
      </c>
      <c r="B31" s="36"/>
      <c r="C31" s="36"/>
      <c r="D31" s="36"/>
      <c r="E31" s="36"/>
      <c r="F31" s="25">
        <f>AVERAGEIF(G2:G21,"&gt;60")</f>
        <v>73.625</v>
      </c>
      <c r="G31" s="10"/>
      <c r="L31" s="10"/>
      <c r="M31" s="10"/>
      <c r="N31" s="10"/>
      <c r="O31" s="10"/>
      <c r="P31" s="10"/>
      <c r="Q31" s="10"/>
      <c r="R31" s="10"/>
      <c r="S31" s="10"/>
      <c r="T31" s="10"/>
      <c r="U31" s="10"/>
      <c r="V31" s="10"/>
      <c r="W31" s="10"/>
      <c r="X31" s="10"/>
      <c r="Y31" s="10"/>
      <c r="Z31" s="10"/>
    </row>
    <row r="32" ht="15.75" customHeight="1" spans="1:26">
      <c r="A32" s="21" t="s">
        <v>79</v>
      </c>
      <c r="B32" s="36"/>
      <c r="C32" s="36"/>
      <c r="D32" s="36"/>
      <c r="E32" s="36"/>
      <c r="F32" s="25">
        <f>COUNTIFS(C2:C21,"&gt;80",D2:D21,"&gt;80")</f>
        <v>3</v>
      </c>
      <c r="G32" s="10"/>
      <c r="L32" s="10"/>
      <c r="M32" s="10"/>
      <c r="N32" s="10"/>
      <c r="O32" s="10"/>
      <c r="P32" s="10"/>
      <c r="Q32" s="10"/>
      <c r="R32" s="10"/>
      <c r="S32" s="10"/>
      <c r="T32" s="10"/>
      <c r="U32" s="10"/>
      <c r="V32" s="10"/>
      <c r="W32" s="10"/>
      <c r="X32" s="10"/>
      <c r="Y32" s="10"/>
      <c r="Z32" s="10"/>
    </row>
    <row r="33" ht="15.75" customHeight="1" spans="1:26">
      <c r="A33" s="21" t="s">
        <v>80</v>
      </c>
      <c r="B33" s="36"/>
      <c r="C33" s="36"/>
      <c r="D33" s="36"/>
      <c r="E33" s="36"/>
      <c r="F33" s="25">
        <f>COUNTIF(K2:K21,"Pass")</f>
        <v>7</v>
      </c>
      <c r="G33" s="10"/>
      <c r="H33" s="10"/>
      <c r="I33" s="10"/>
      <c r="J33" s="10"/>
      <c r="K33" s="10"/>
      <c r="L33" s="10"/>
      <c r="M33" s="10"/>
      <c r="N33" s="10"/>
      <c r="O33" s="10"/>
      <c r="P33" s="10"/>
      <c r="Q33" s="10"/>
      <c r="R33" s="10"/>
      <c r="S33" s="10"/>
      <c r="T33" s="10"/>
      <c r="U33" s="10"/>
      <c r="V33" s="10"/>
      <c r="W33" s="10"/>
      <c r="X33" s="10"/>
      <c r="Y33" s="10"/>
      <c r="Z33" s="10"/>
    </row>
    <row r="34" ht="15.75" customHeight="1" spans="1:26">
      <c r="A34" s="21" t="s">
        <v>81</v>
      </c>
      <c r="B34" s="36"/>
      <c r="C34" s="36"/>
      <c r="D34" s="36"/>
      <c r="E34" s="36"/>
      <c r="F34" s="25">
        <f>COUNTIF(K2:K21,"Fail")</f>
        <v>13</v>
      </c>
      <c r="G34" s="10"/>
      <c r="H34" s="10"/>
      <c r="I34" s="10"/>
      <c r="J34" s="10"/>
      <c r="K34" s="10"/>
      <c r="L34" s="10"/>
      <c r="M34" s="10"/>
      <c r="N34" s="10"/>
      <c r="O34" s="10"/>
      <c r="P34" s="10"/>
      <c r="Q34" s="10"/>
      <c r="R34" s="10"/>
      <c r="S34" s="10"/>
      <c r="T34" s="10"/>
      <c r="U34" s="10"/>
      <c r="V34" s="10"/>
      <c r="W34" s="10"/>
      <c r="X34" s="10"/>
      <c r="Y34" s="10"/>
      <c r="Z34" s="10"/>
    </row>
    <row r="35" ht="15.75" customHeight="1" spans="1:26">
      <c r="A35" s="13" t="s">
        <v>82</v>
      </c>
      <c r="B35" s="13"/>
      <c r="C35" s="13"/>
      <c r="D35" s="13"/>
      <c r="E35" s="13"/>
      <c r="F35" s="9">
        <f>COUNTIF(C2:C21,"&gt;50")</f>
        <v>19</v>
      </c>
      <c r="G35" s="10"/>
      <c r="H35" s="10"/>
      <c r="I35" s="10"/>
      <c r="J35" s="10"/>
      <c r="K35" s="10"/>
      <c r="L35" s="10"/>
      <c r="M35" s="10"/>
      <c r="N35" s="10"/>
      <c r="O35" s="10"/>
      <c r="P35" s="10"/>
      <c r="Q35" s="10"/>
      <c r="R35" s="10"/>
      <c r="S35" s="10"/>
      <c r="T35" s="10"/>
      <c r="U35" s="10"/>
      <c r="V35" s="10"/>
      <c r="W35" s="10"/>
      <c r="X35" s="10"/>
      <c r="Y35" s="10"/>
      <c r="Z35" s="10"/>
    </row>
    <row r="36" ht="15.75" customHeight="1" spans="1:26">
      <c r="A36" s="10"/>
      <c r="B36" s="10"/>
      <c r="C36" s="10"/>
      <c r="D36" s="10"/>
      <c r="E36" s="10"/>
      <c r="F36" s="10"/>
      <c r="H36" s="10"/>
      <c r="I36" s="10"/>
      <c r="J36" s="10"/>
      <c r="L36" s="10"/>
      <c r="M36" s="10"/>
      <c r="N36" s="10"/>
      <c r="O36" s="10"/>
      <c r="P36" s="10"/>
      <c r="Q36" s="10"/>
      <c r="R36" s="10"/>
      <c r="S36" s="10"/>
      <c r="T36" s="10"/>
      <c r="U36" s="10"/>
      <c r="V36" s="10"/>
      <c r="W36" s="10"/>
      <c r="X36" s="10"/>
      <c r="Y36" s="10"/>
      <c r="Z36" s="10"/>
    </row>
    <row r="37" ht="15.75" customHeight="1" spans="1:26">
      <c r="A37" s="39" t="s">
        <v>83</v>
      </c>
      <c r="B37" s="39"/>
      <c r="C37" s="39"/>
      <c r="D37" s="39"/>
      <c r="E37" s="39"/>
      <c r="F37" s="39"/>
      <c r="G37" s="39"/>
      <c r="H37" s="10"/>
      <c r="I37" s="10"/>
      <c r="J37" s="10"/>
      <c r="L37" s="10"/>
      <c r="M37" s="10"/>
      <c r="N37" s="10"/>
      <c r="O37" s="10"/>
      <c r="P37" s="10"/>
      <c r="Q37" s="10"/>
      <c r="R37" s="10"/>
      <c r="S37" s="10"/>
      <c r="T37" s="10"/>
      <c r="U37" s="10"/>
      <c r="V37" s="10"/>
      <c r="W37" s="10"/>
      <c r="X37" s="10"/>
      <c r="Y37" s="10"/>
      <c r="Z37" s="10"/>
    </row>
    <row r="38" ht="15.75" customHeight="1" spans="1:26">
      <c r="A38" s="21" t="s">
        <v>84</v>
      </c>
      <c r="B38" s="21"/>
      <c r="C38" s="21"/>
      <c r="D38" s="21"/>
      <c r="E38" s="21"/>
      <c r="F38" s="40" t="s">
        <v>85</v>
      </c>
      <c r="G38" s="41"/>
      <c r="H38" s="10"/>
      <c r="I38" s="10"/>
      <c r="J38" s="10"/>
      <c r="K38" s="10"/>
      <c r="L38" s="10"/>
      <c r="M38" s="10"/>
      <c r="N38" s="10"/>
      <c r="O38" s="10"/>
      <c r="P38" s="10"/>
      <c r="Q38" s="10"/>
      <c r="R38" s="10"/>
      <c r="S38" s="10"/>
      <c r="T38" s="10"/>
      <c r="U38" s="10"/>
      <c r="V38" s="10"/>
      <c r="W38" s="10"/>
      <c r="X38" s="10"/>
      <c r="Y38" s="10"/>
      <c r="Z38" s="10"/>
    </row>
    <row r="39" ht="15.75" customHeight="1" spans="1:26">
      <c r="A39" s="21" t="s">
        <v>86</v>
      </c>
      <c r="B39" s="21"/>
      <c r="C39" s="21"/>
      <c r="D39" s="21"/>
      <c r="E39" s="21"/>
      <c r="F39" s="40" t="str">
        <f>VLOOKUP(1005,$A$2:$F$21,2,FALSE)</f>
        <v>Student 5</v>
      </c>
      <c r="G39" s="41"/>
      <c r="H39" s="10"/>
      <c r="I39" s="10"/>
      <c r="J39" s="10"/>
      <c r="K39" s="10"/>
      <c r="L39" s="10"/>
      <c r="M39" s="10"/>
      <c r="N39" s="10"/>
      <c r="O39" s="10"/>
      <c r="P39" s="10"/>
      <c r="Q39" s="10"/>
      <c r="R39" s="10"/>
      <c r="S39" s="10"/>
      <c r="T39" s="10"/>
      <c r="U39" s="10"/>
      <c r="V39" s="10"/>
      <c r="W39" s="10"/>
      <c r="X39" s="10"/>
      <c r="Y39" s="10"/>
      <c r="Z39" s="10"/>
    </row>
    <row r="40" ht="15.75" customHeight="1" spans="1:26">
      <c r="A40" s="21" t="s">
        <v>87</v>
      </c>
      <c r="B40" s="21"/>
      <c r="C40" s="21"/>
      <c r="D40" s="21"/>
      <c r="E40" s="21"/>
      <c r="F40" s="40">
        <f>VLOOKUP(1005,$A$2:$F$21,3,FALSE)</f>
        <v>68</v>
      </c>
      <c r="G40" s="41"/>
      <c r="H40" s="10"/>
      <c r="I40" s="10"/>
      <c r="J40" s="10"/>
      <c r="K40" s="10"/>
      <c r="L40" s="10"/>
      <c r="M40" s="10"/>
      <c r="N40" s="10"/>
      <c r="O40" s="10"/>
      <c r="P40" s="10"/>
      <c r="Q40" s="10"/>
      <c r="R40" s="10"/>
      <c r="S40" s="10"/>
      <c r="T40" s="10"/>
      <c r="U40" s="10"/>
      <c r="V40" s="10"/>
      <c r="W40" s="10"/>
      <c r="X40" s="10"/>
      <c r="Y40" s="10"/>
      <c r="Z40" s="10"/>
    </row>
    <row r="41" ht="15.75" customHeight="1" spans="8:26">
      <c r="H41" s="10"/>
      <c r="I41" s="10"/>
      <c r="J41" s="10"/>
      <c r="K41" s="10"/>
      <c r="L41" s="10"/>
      <c r="M41" s="10"/>
      <c r="N41" s="10"/>
      <c r="O41" s="10"/>
      <c r="P41" s="10"/>
      <c r="Q41" s="10"/>
      <c r="R41" s="10"/>
      <c r="S41" s="10"/>
      <c r="T41" s="10"/>
      <c r="U41" s="10"/>
      <c r="V41" s="10"/>
      <c r="W41" s="10"/>
      <c r="X41" s="10"/>
      <c r="Y41" s="10"/>
      <c r="Z41" s="10"/>
    </row>
    <row r="42" ht="15.75" customHeight="1" spans="8:26">
      <c r="H42" s="10"/>
      <c r="I42" s="10"/>
      <c r="J42" s="10"/>
      <c r="K42" s="10"/>
      <c r="L42" s="10"/>
      <c r="M42" s="10"/>
      <c r="N42" s="10"/>
      <c r="O42" s="10"/>
      <c r="P42" s="10"/>
      <c r="Q42" s="10"/>
      <c r="R42" s="10"/>
      <c r="S42" s="10"/>
      <c r="T42" s="10"/>
      <c r="U42" s="10"/>
      <c r="V42" s="10"/>
      <c r="W42" s="10"/>
      <c r="X42" s="10"/>
      <c r="Y42" s="10"/>
      <c r="Z42" s="10"/>
    </row>
    <row r="43" ht="15.75" customHeight="1" spans="1:26">
      <c r="A43" s="28" t="s">
        <v>88</v>
      </c>
      <c r="B43" s="28"/>
      <c r="C43" s="28"/>
      <c r="D43" s="28"/>
      <c r="E43" s="28"/>
      <c r="F43" s="28"/>
      <c r="H43" s="10"/>
      <c r="I43" s="10"/>
      <c r="J43" s="10"/>
      <c r="K43" s="10"/>
      <c r="L43" s="10"/>
      <c r="M43" s="10"/>
      <c r="N43" s="10"/>
      <c r="O43" s="10"/>
      <c r="P43" s="10"/>
      <c r="Q43" s="10"/>
      <c r="R43" s="10"/>
      <c r="S43" s="10"/>
      <c r="T43" s="10"/>
      <c r="U43" s="10"/>
      <c r="V43" s="10"/>
      <c r="W43" s="10"/>
      <c r="X43" s="10"/>
      <c r="Y43" s="10"/>
      <c r="Z43" s="10"/>
    </row>
    <row r="44" ht="15.75" customHeight="1" spans="1:26">
      <c r="A44" s="13" t="s">
        <v>41</v>
      </c>
      <c r="B44" s="13"/>
      <c r="C44" s="13"/>
      <c r="D44" s="13"/>
      <c r="E44" s="13"/>
      <c r="F44" s="9" cm="1">
        <f t="array" ref="F44">_xlfn.SINGLE(_xlfn._xlws.FILTER(A2:A21,(G2:G21&gt;80),"No students with grade &gt;80"))</f>
        <v>1012</v>
      </c>
      <c r="G44" s="10"/>
      <c r="H44" s="10"/>
      <c r="I44" s="10"/>
      <c r="J44" s="10"/>
      <c r="K44" s="10"/>
      <c r="L44" s="10"/>
      <c r="M44" s="10"/>
      <c r="N44" s="10"/>
      <c r="O44" s="10"/>
      <c r="P44" s="10"/>
      <c r="Q44" s="10"/>
      <c r="R44" s="10"/>
      <c r="S44" s="10"/>
      <c r="T44" s="10"/>
      <c r="U44" s="10"/>
      <c r="V44" s="10"/>
      <c r="W44" s="10"/>
      <c r="X44" s="10"/>
      <c r="Y44" s="10"/>
      <c r="Z44" s="10"/>
    </row>
    <row r="45" ht="15.75" customHeight="1" spans="1:26">
      <c r="A45" s="13" t="s">
        <v>42</v>
      </c>
      <c r="B45" s="13"/>
      <c r="C45" s="13"/>
      <c r="D45" s="13"/>
      <c r="E45" s="13"/>
      <c r="F45" s="9" t="str" cm="1">
        <f t="array" ref="F45">_xlfn.SINGLE(_xlfn._xlws.FILTER(B2:B21,(G2:G21&gt;80),"N/A"))</f>
        <v>Student 12</v>
      </c>
      <c r="G45" s="10"/>
      <c r="H45" s="10"/>
      <c r="I45" s="10"/>
      <c r="J45" s="10"/>
      <c r="K45" s="10"/>
      <c r="L45" s="10"/>
      <c r="M45" s="10"/>
      <c r="N45" s="10"/>
      <c r="O45" s="10"/>
      <c r="P45" s="10"/>
      <c r="Q45" s="10"/>
      <c r="R45" s="10"/>
      <c r="S45" s="10"/>
      <c r="T45" s="10"/>
      <c r="U45" s="10"/>
      <c r="V45" s="10"/>
      <c r="W45" s="10"/>
      <c r="X45" s="10"/>
      <c r="Y45" s="10"/>
      <c r="Z45" s="10"/>
    </row>
    <row r="46" ht="15.75" customHeight="1" spans="1:26">
      <c r="A46" s="13" t="s">
        <v>47</v>
      </c>
      <c r="B46" s="13"/>
      <c r="C46" s="13"/>
      <c r="D46" s="13"/>
      <c r="E46" s="13"/>
      <c r="F46" s="9" cm="1">
        <f t="array" ref="F46">_xlfn.SINGLE(_xlfn._xlws.FILTER(G2:G21,(G2:G21&gt;80),"N/A"))</f>
        <v>84.3333333333333</v>
      </c>
      <c r="G46" s="10"/>
      <c r="H46" s="10"/>
      <c r="I46" s="10"/>
      <c r="J46" s="10"/>
      <c r="K46" s="10"/>
      <c r="L46" s="10"/>
      <c r="M46" s="10"/>
      <c r="N46" s="10"/>
      <c r="O46" s="10"/>
      <c r="P46" s="10"/>
      <c r="Q46" s="10"/>
      <c r="R46" s="10"/>
      <c r="S46" s="10"/>
      <c r="T46" s="10"/>
      <c r="U46" s="10"/>
      <c r="V46" s="10"/>
      <c r="W46" s="10"/>
      <c r="X46" s="10"/>
      <c r="Y46" s="10"/>
      <c r="Z46" s="10"/>
    </row>
    <row r="47" ht="15.75" customHeight="1" spans="1:26">
      <c r="A47" s="13" t="s">
        <v>48</v>
      </c>
      <c r="B47" s="13"/>
      <c r="C47" s="13"/>
      <c r="D47" s="13"/>
      <c r="E47" s="13"/>
      <c r="F47" s="9" t="str" cm="1">
        <f t="array" ref="F47">_xlfn.SINGLE(_xlfn._xlws.FILTER(H2:H21,(G2:G21&gt;80),"N/A"))</f>
        <v>A</v>
      </c>
      <c r="G47" s="10"/>
      <c r="H47" s="10"/>
      <c r="I47" s="10"/>
      <c r="J47" s="10"/>
      <c r="K47" s="10"/>
      <c r="L47" s="10"/>
      <c r="M47" s="10"/>
      <c r="N47" s="10"/>
      <c r="O47" s="10"/>
      <c r="P47" s="10"/>
      <c r="Q47" s="10"/>
      <c r="R47" s="10"/>
      <c r="S47" s="10"/>
      <c r="T47" s="10"/>
      <c r="U47" s="10"/>
      <c r="V47" s="10"/>
      <c r="W47" s="10"/>
      <c r="X47" s="10"/>
      <c r="Y47" s="10"/>
      <c r="Z47" s="10"/>
    </row>
    <row r="48" ht="15.75" customHeight="1" spans="7:26">
      <c r="G48" s="10"/>
      <c r="H48" s="10"/>
      <c r="I48" s="10"/>
      <c r="J48" s="10"/>
      <c r="K48" s="10"/>
      <c r="L48" s="10"/>
      <c r="M48" s="10"/>
      <c r="N48" s="10"/>
      <c r="O48" s="10"/>
      <c r="P48" s="10"/>
      <c r="Q48" s="10"/>
      <c r="R48" s="10"/>
      <c r="S48" s="10"/>
      <c r="T48" s="10"/>
      <c r="U48" s="10"/>
      <c r="V48" s="10"/>
      <c r="W48" s="10"/>
      <c r="X48" s="10"/>
      <c r="Y48" s="10"/>
      <c r="Z48" s="10"/>
    </row>
    <row r="49" ht="15.75" customHeight="1" spans="7:26">
      <c r="G49" s="10"/>
      <c r="H49" s="10"/>
      <c r="I49" s="10"/>
      <c r="J49" s="10"/>
      <c r="K49" s="10"/>
      <c r="L49" s="10"/>
      <c r="M49" s="10"/>
      <c r="N49" s="10"/>
      <c r="O49" s="10"/>
      <c r="P49" s="10"/>
      <c r="Q49" s="10"/>
      <c r="R49" s="10"/>
      <c r="S49" s="10"/>
      <c r="T49" s="10"/>
      <c r="U49" s="10"/>
      <c r="V49" s="10"/>
      <c r="W49" s="10"/>
      <c r="X49" s="10"/>
      <c r="Y49" s="10"/>
      <c r="Z49" s="10"/>
    </row>
    <row r="50" ht="15.75" customHeight="1" spans="5:26">
      <c r="E50" s="10"/>
      <c r="F50" s="10"/>
      <c r="G50" s="10"/>
      <c r="H50" s="10"/>
      <c r="I50" s="10"/>
      <c r="J50" s="10"/>
      <c r="K50" s="10"/>
      <c r="L50" s="10"/>
      <c r="M50" s="10"/>
      <c r="N50" s="10"/>
      <c r="O50" s="10"/>
      <c r="P50" s="10"/>
      <c r="Q50" s="10"/>
      <c r="R50" s="10"/>
      <c r="S50" s="10"/>
      <c r="T50" s="10"/>
      <c r="U50" s="10"/>
      <c r="V50" s="10"/>
      <c r="W50" s="10"/>
      <c r="X50" s="10"/>
      <c r="Y50" s="10"/>
      <c r="Z50" s="10"/>
    </row>
    <row r="51" ht="15.75" customHeight="1" spans="5:26">
      <c r="E51" s="10"/>
      <c r="F51" s="10"/>
      <c r="G51" s="10"/>
      <c r="H51" s="10"/>
      <c r="I51" s="10"/>
      <c r="J51" s="10"/>
      <c r="K51" s="10"/>
      <c r="L51" s="10"/>
      <c r="M51" s="10"/>
      <c r="N51" s="10"/>
      <c r="O51" s="10"/>
      <c r="P51" s="10"/>
      <c r="Q51" s="10"/>
      <c r="R51" s="10"/>
      <c r="S51" s="10"/>
      <c r="T51" s="10"/>
      <c r="U51" s="10"/>
      <c r="V51" s="10"/>
      <c r="W51" s="10"/>
      <c r="X51" s="10"/>
      <c r="Y51" s="10"/>
      <c r="Z51" s="10"/>
    </row>
    <row r="52" ht="15.75" customHeight="1" spans="5:26">
      <c r="E52" s="10"/>
      <c r="F52" s="10"/>
      <c r="G52" s="10"/>
      <c r="H52" s="10"/>
      <c r="I52" s="10"/>
      <c r="J52" s="10"/>
      <c r="K52" s="10"/>
      <c r="L52" s="10"/>
      <c r="M52" s="10"/>
      <c r="N52" s="10"/>
      <c r="O52" s="10"/>
      <c r="P52" s="10"/>
      <c r="Q52" s="10"/>
      <c r="R52" s="10"/>
      <c r="S52" s="10"/>
      <c r="T52" s="10"/>
      <c r="U52" s="10"/>
      <c r="V52" s="10"/>
      <c r="W52" s="10"/>
      <c r="X52" s="10"/>
      <c r="Y52" s="10"/>
      <c r="Z52" s="10"/>
    </row>
    <row r="53" ht="15.75" customHeight="1" spans="5:26">
      <c r="E53" s="10"/>
      <c r="F53" s="10"/>
      <c r="G53" s="10"/>
      <c r="H53" s="10"/>
      <c r="I53" s="10"/>
      <c r="J53" s="10"/>
      <c r="K53" s="10"/>
      <c r="L53" s="10"/>
      <c r="M53" s="10"/>
      <c r="N53" s="10"/>
      <c r="O53" s="10"/>
      <c r="P53" s="10"/>
      <c r="Q53" s="10"/>
      <c r="R53" s="10"/>
      <c r="S53" s="10"/>
      <c r="T53" s="10"/>
      <c r="U53" s="10"/>
      <c r="V53" s="10"/>
      <c r="W53" s="10"/>
      <c r="X53" s="10"/>
      <c r="Y53" s="10"/>
      <c r="Z53" s="10"/>
    </row>
    <row r="54" ht="15.75" customHeight="1" spans="5:26">
      <c r="E54" s="10"/>
      <c r="F54" s="10"/>
      <c r="G54" s="10"/>
      <c r="H54" s="10"/>
      <c r="I54" s="10"/>
      <c r="J54" s="10"/>
      <c r="K54" s="10"/>
      <c r="L54" s="10"/>
      <c r="M54" s="10"/>
      <c r="N54" s="10"/>
      <c r="O54" s="10"/>
      <c r="P54" s="10"/>
      <c r="Q54" s="10"/>
      <c r="R54" s="10"/>
      <c r="S54" s="10"/>
      <c r="T54" s="10"/>
      <c r="U54" s="10"/>
      <c r="V54" s="10"/>
      <c r="W54" s="10"/>
      <c r="X54" s="10"/>
      <c r="Y54" s="10"/>
      <c r="Z54" s="10"/>
    </row>
    <row r="55" ht="15.75" customHeight="1" spans="1:26">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spans="1:2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spans="1:26">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spans="1:26">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spans="1:2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spans="1:26">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spans="1:26">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spans="1:26">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spans="1:26">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spans="1:26">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spans="1:26">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spans="1:2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spans="1:26">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spans="1:26">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spans="1:26">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spans="1:26">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spans="1:26">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spans="1:26">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spans="1:26">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spans="1:26">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spans="1:26">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spans="1:2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spans="1:26">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spans="1:26">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spans="1:26">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spans="1:26">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spans="1:26">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spans="1:26">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spans="1:26">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spans="1:26">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spans="1:26">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spans="1:2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spans="1:26">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spans="1:26">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spans="1:26">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spans="1:26">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spans="1:26">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spans="1:26">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spans="1:26">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spans="1:26">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spans="1:26">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spans="1:2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spans="1:26">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spans="1:26">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spans="1:26">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spans="1:26">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spans="1:26">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spans="1:26">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spans="1:26">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spans="1:26">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spans="1:26">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spans="1:2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spans="1:26">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spans="1:26">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spans="1:26">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spans="1:26">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spans="1:26">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spans="1:26">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spans="1:26">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spans="1:26">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spans="1:26">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spans="1:2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spans="1:26">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spans="1:26">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spans="1:26">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spans="1:26">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spans="1:26">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spans="1:26">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spans="1:26">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spans="1:26">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spans="1:26">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spans="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spans="1:26">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spans="1:26">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spans="1:26">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spans="1:26">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spans="1:26">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spans="1:26">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spans="1:26">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spans="1:26">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spans="1:26">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spans="1:2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spans="1:26">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spans="1:26">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spans="1:26">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spans="1:26">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spans="1:26">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spans="1:26">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spans="1:26">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spans="1:26">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spans="1:26">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spans="1:2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spans="1:26">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spans="1:26">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spans="1:26">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spans="1:26">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spans="1:26">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spans="1:26">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spans="1:26">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spans="1:26">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spans="1:26">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spans="1:2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spans="1:26">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spans="1:26">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spans="1:2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spans="1:26">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spans="1:26">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spans="1:26">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spans="1:26">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spans="1:26">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spans="1:26">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spans="1:26">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spans="1:26">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spans="1:26">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spans="1:2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spans="1:26">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spans="1:26">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spans="1:26">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spans="1:26">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spans="1:26">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spans="1:26">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spans="1:26">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spans="1:26">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spans="1:26">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spans="1:2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spans="1:26">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spans="1:26">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spans="1:26">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spans="1:26">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spans="1:26">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spans="1:26">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spans="1:26">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spans="1:26">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spans="1:26">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spans="1:2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spans="1:26">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spans="1:26">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spans="1:26">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spans="1:26">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spans="1:26">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spans="1:26">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spans="1:26">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spans="1:26">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spans="1:26">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spans="1:2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spans="1:26">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spans="1:26">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spans="1:26">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spans="1:26">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spans="1:26">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spans="1:26">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spans="1:26">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spans="1:26">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spans="1:26">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spans="1:2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spans="1:26">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spans="1:26">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spans="1:26">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spans="1:26">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spans="1:26">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spans="1:26">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spans="1:26">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spans="1:26">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spans="1:26">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spans="1:2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spans="1:26">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spans="1:26">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spans="1:26">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spans="1:26">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spans="1:26">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spans="1:26">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spans="1:26">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spans="1:26">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spans="1:26">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spans="1:2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spans="1:26">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spans="1:26">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spans="1:26">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spans="1:26">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spans="1:26">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spans="1:26">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spans="1:26">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spans="1:26">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spans="1:26">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spans="1: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spans="1:26">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spans="1:26">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spans="1:26">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spans="1:26">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spans="1:26">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spans="1:26">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spans="1:26">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spans="1:26">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spans="1:26">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spans="1:2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spans="1:26">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spans="1:26">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spans="1:26">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spans="1:26">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spans="1:26">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spans="1:26">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spans="1:26">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spans="1:26">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spans="1:26">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spans="1:2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spans="1:26">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spans="1:26">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spans="1:26">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spans="1:26">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spans="1:26">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spans="1:26">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spans="1:26">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spans="1:26">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spans="1:26">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spans="1:2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spans="1:26">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spans="1:26">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spans="1:26">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spans="1:26">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spans="1:26">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spans="1:26">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spans="1:26">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spans="1:26">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spans="1:26">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spans="1:2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spans="1:26">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spans="1:26">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spans="1:26">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spans="1:26">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spans="1:26">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spans="1:26">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spans="1:26">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spans="1:26">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spans="1:26">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spans="1:2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spans="1:26">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spans="1:26">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spans="1:26">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spans="1:26">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spans="1:26">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spans="1:26">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spans="1:26">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spans="1:26">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spans="1:26">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spans="1:2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spans="1:26">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spans="1:26">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spans="1:26">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spans="1:26">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spans="1:26">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spans="1:26">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spans="1:26">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spans="1:26">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spans="1:26">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spans="1:2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spans="1:26">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spans="1:26">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spans="1:26">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spans="1:26">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spans="1:26">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spans="1:26">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spans="1:26">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spans="1:26">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spans="1:26">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spans="1:2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spans="1:26">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spans="1:26">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spans="1:26">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spans="1:26">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spans="1:26">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spans="1:26">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spans="1:26">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spans="1:26">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spans="1:26">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spans="1:2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spans="1:26">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spans="1:26">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spans="1:26">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spans="1:26">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spans="1:26">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spans="1:26">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spans="1:26">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spans="1:26">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spans="1:26">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spans="1: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spans="1:26">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spans="1:26">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spans="1:26">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spans="1:26">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spans="1:26">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spans="1:26">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spans="1:26">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spans="1:26">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spans="1:26">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spans="1:2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spans="1:26">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spans="1:26">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spans="1:26">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spans="1:26">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spans="1:26">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spans="1:26">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spans="1:26">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spans="1:26">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spans="1:26">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spans="1:2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spans="1:26">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spans="1:26">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spans="1:26">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spans="1:26">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spans="1:26">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spans="1:26">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spans="1:26">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spans="1:26">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spans="1:26">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spans="1:2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spans="1:26">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spans="1:26">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spans="1:26">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spans="1:26">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spans="1:26">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spans="1:26">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spans="1:26">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spans="1:26">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spans="1:26">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spans="1:2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spans="1:26">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spans="1:26">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spans="1:26">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spans="1:26">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spans="1:26">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spans="1:26">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spans="1:26">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spans="1:26">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spans="1:26">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spans="1:2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spans="1:26">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spans="1:26">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spans="1:26">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spans="1:26">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spans="1:26">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spans="1:26">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spans="1:26">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spans="1:26">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spans="1:26">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spans="1:2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spans="1:26">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spans="1:26">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spans="1:26">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spans="1:26">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spans="1:26">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spans="1:26">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spans="1:26">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spans="1:26">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spans="1:26">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spans="1:2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spans="1:26">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spans="1:26">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spans="1:26">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spans="1:26">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spans="1:26">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spans="1:26">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spans="1:26">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spans="1:26">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spans="1:26">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spans="1:2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spans="1:26">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spans="1:2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spans="1:26">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spans="1:26">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spans="1:26">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spans="1:26">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spans="1:26">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spans="1:26">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spans="1:26">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spans="1:2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spans="1:26">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spans="1:26">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spans="1:26">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spans="1:26">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spans="1:26">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spans="1:26">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spans="1:26">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spans="1:26">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spans="1:26">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spans="1: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spans="1:26">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spans="1:26">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spans="1:26">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spans="1:26">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spans="1:26">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spans="1:26">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spans="1:26">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spans="1:26">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spans="1:26">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spans="1:2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spans="1:26">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spans="1:26">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spans="1:26">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spans="1:26">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spans="1:26">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spans="1:26">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spans="1:26">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spans="1:26">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spans="1:26">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spans="1:2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spans="1:26">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spans="1:26">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spans="1:26">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spans="1:26">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spans="1:26">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spans="1:26">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spans="1:26">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spans="1:26">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spans="1:26">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spans="1:2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spans="1:26">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spans="1:26">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spans="1:26">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spans="1:26">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spans="1:26">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spans="1:26">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spans="1:26">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spans="1:26">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spans="1:26">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spans="1:2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spans="1:26">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spans="1:26">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spans="1:26">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spans="1:26">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spans="1:26">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spans="1:26">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spans="1:26">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spans="1:26">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spans="1:26">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spans="1:2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spans="1:26">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spans="1:26">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spans="1:26">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spans="1:26">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spans="1:26">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spans="1:26">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spans="1:26">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spans="1:26">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spans="1:26">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spans="1:2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spans="1:26">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spans="1:26">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spans="1:26">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spans="1:26">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spans="1:26">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spans="1:26">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spans="1:26">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spans="1:26">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spans="1:26">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spans="1:2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spans="1:26">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spans="1:26">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spans="1:26">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spans="1:26">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spans="1:26">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spans="1:26">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spans="1:26">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spans="1:26">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spans="1:26">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spans="1:2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spans="1:26">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spans="1:26">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spans="1:26">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spans="1:26">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spans="1:26">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spans="1:26">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spans="1:26">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spans="1:26">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spans="1:26">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spans="1:2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spans="1:26">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spans="1:26">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spans="1:26">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spans="1:26">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spans="1:26">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spans="1:26">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spans="1:26">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spans="1:26">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spans="1:26">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spans="1: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spans="1:26">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spans="1:26">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spans="1:26">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spans="1:26">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spans="1:26">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spans="1:26">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spans="1:26">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spans="1:26">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spans="1:26">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spans="1:2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spans="1:26">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spans="1:26">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spans="1:26">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spans="1:26">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spans="1:26">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spans="1:26">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spans="1:26">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spans="1:26">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spans="1:26">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spans="1:2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spans="1:26">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spans="1:26">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spans="1:26">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spans="1:26">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spans="1:26">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spans="1:26">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spans="1:26">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spans="1:26">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spans="1:26">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spans="1:2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spans="1:26">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spans="1:26">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spans="1:26">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spans="1:26">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spans="1:26">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spans="1:26">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spans="1:26">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spans="1:26">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spans="1:26">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spans="1:2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spans="1:26">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spans="1:26">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spans="1:26">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spans="1:26">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spans="1:26">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spans="1:26">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spans="1:26">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spans="1:26">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spans="1:26">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spans="1:2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spans="1:26">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spans="1:26">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spans="1:26">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spans="1:26">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spans="1:26">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spans="1:26">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spans="1:26">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spans="1:26">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spans="1:26">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spans="1:2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spans="1:26">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spans="1:26">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spans="1:26">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spans="1:26">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spans="1:26">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spans="1:26">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spans="1:26">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spans="1:26">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spans="1:26">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spans="1:2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spans="1:26">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spans="1:26">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spans="1:26">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spans="1:26">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spans="1:26">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spans="1:26">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spans="1:26">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spans="1:26">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spans="1:26">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spans="1:2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spans="1:26">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spans="1:26">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spans="1:26">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spans="1:26">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spans="1:26">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spans="1:26">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spans="1:26">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spans="1:26">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spans="1:26">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spans="1:2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spans="1:26">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spans="1:26">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spans="1:26">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spans="1:26">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spans="1:26">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spans="1:26">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spans="1:26">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spans="1:26">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spans="1:26">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spans="1: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spans="1:26">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spans="1:26">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spans="1:26">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spans="1:26">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spans="1:26">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spans="1:26">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spans="1:26">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spans="1:26">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spans="1:26">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spans="1:2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spans="1:26">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spans="1:26">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spans="1:26">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spans="1:26">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spans="1:26">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spans="1:26">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spans="1:26">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spans="1:26">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spans="1:26">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spans="1:2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spans="1:26">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spans="1:26">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spans="1:26">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spans="1:26">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spans="1:26">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spans="1:26">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spans="1:26">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spans="1:26">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spans="1:26">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spans="1:2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spans="1:26">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spans="1:26">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spans="1:26">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spans="1:26">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spans="1:26">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spans="1:26">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spans="1:26">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spans="1:26">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spans="1:26">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spans="1:2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spans="1:26">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spans="1:26">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spans="1:26">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spans="1:26">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spans="1:26">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spans="1:26">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spans="1:26">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spans="1:26">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spans="1:26">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spans="1:2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spans="1:26">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spans="1:26">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spans="1:26">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spans="1:26">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spans="1:26">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spans="1:26">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spans="1:26">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spans="1:26">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spans="1:26">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spans="1:2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spans="1:26">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spans="1:26">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spans="1:26">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spans="1:26">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spans="1:26">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spans="1:26">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spans="1:26">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spans="1:26">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spans="1:26">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spans="1:2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spans="1:26">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spans="1:26">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spans="1:26">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spans="1:26">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spans="1:26">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spans="1:26">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spans="1:26">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spans="1:26">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spans="1:26">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spans="1:2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spans="1:26">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spans="1:26">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spans="1:26">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spans="1:26">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spans="1:26">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spans="1:26">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spans="1:26">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spans="1:26">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spans="1:26">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spans="1:2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spans="1:26">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spans="1:26">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spans="1:26">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spans="1:26">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spans="1:26">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spans="1:26">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spans="1:26">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spans="1:26">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spans="1:26">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spans="1: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spans="1:26">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spans="1:26">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spans="1:26">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spans="1:26">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spans="1:26">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spans="1:26">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spans="1:26">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spans="1:26">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spans="1:26">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spans="1:2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spans="1:26">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spans="1:26">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spans="1:26">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spans="1:26">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spans="1:26">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spans="1:26">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spans="1:26">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spans="1:26">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spans="1:26">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spans="1:2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spans="1:26">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spans="1:26">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spans="1:26">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spans="1:26">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spans="1:26">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spans="1:26">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spans="1:26">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spans="1:26">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spans="1:26">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spans="1:2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spans="1:26">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spans="1:26">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spans="1:26">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spans="1:26">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spans="1:26">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spans="1:26">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spans="1:26">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spans="1:26">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spans="1:26">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spans="1:2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spans="1:26">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spans="1:26">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spans="1:26">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spans="1:26">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spans="1:26">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spans="1:26">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spans="1:26">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spans="1:26">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spans="1:26">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spans="1:2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spans="1:26">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spans="1:26">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spans="1:26">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spans="1:26">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spans="1:26">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spans="1:26">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spans="1:26">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spans="1:26">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spans="1:26">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spans="1:2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spans="1:26">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spans="1:26">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spans="1:26">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spans="1:26">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spans="1:26">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spans="1:26">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spans="1:26">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spans="1:26">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spans="1:26">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spans="1:2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spans="1:26">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spans="1:26">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spans="1:26">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spans="1:26">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spans="1:26">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spans="1:26">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spans="1:26">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spans="1:26">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spans="1:26">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spans="1:2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spans="1:26">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spans="1:26">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spans="1:26">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spans="1:26">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spans="1:26">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spans="1:26">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spans="1:26">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spans="1:26">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spans="1:26">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spans="1:2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spans="1:26">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spans="1:26">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spans="1:26">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spans="1:26">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spans="1:26">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spans="1:26">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spans="1:26">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spans="1:26">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spans="1:26">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spans="1: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spans="1:26">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spans="1:26">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spans="1:26">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spans="1:26">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spans="1:26">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spans="1:26">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spans="1:26">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spans="1:26">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spans="1:26">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spans="1:2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spans="1:26">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spans="1:26">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spans="1:26">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spans="1:26">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spans="1:26">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spans="1:26">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spans="1:26">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spans="1:26">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spans="1:26">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spans="1:2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spans="1:26">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spans="1:26">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spans="1:26">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spans="1:26">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spans="1:26">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spans="1:26">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spans="1:26">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spans="1:26">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spans="1:26">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spans="1:2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spans="1:26">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spans="1:26">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spans="1:26">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spans="1:26">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spans="1:26">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spans="1:26">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spans="1:26">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spans="1:26">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spans="1:26">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spans="1:2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spans="1:26">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spans="1:26">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spans="1:26">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spans="1:26">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spans="1:26">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spans="1:26">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spans="1:26">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spans="1:26">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spans="1:26">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spans="1:2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spans="1:26">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spans="1:26">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spans="1:26">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spans="1:26">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spans="1:26">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spans="1:26">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spans="1:26">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spans="1:26">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spans="1:26">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spans="1:2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spans="1:26">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spans="1:26">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spans="1:26">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spans="1:26">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spans="1:26">
      <c r="A991" s="10"/>
      <c r="B991" s="10"/>
      <c r="C991" s="10"/>
      <c r="D991" s="10"/>
      <c r="E991" s="10"/>
      <c r="F991" s="10"/>
      <c r="G991" s="10"/>
      <c r="I991" s="10"/>
      <c r="J991" s="10"/>
      <c r="K991" s="10"/>
      <c r="L991" s="10"/>
      <c r="M991" s="10"/>
      <c r="N991" s="10"/>
      <c r="O991" s="10"/>
      <c r="P991" s="10"/>
      <c r="Q991" s="10"/>
      <c r="R991" s="10"/>
      <c r="S991" s="10"/>
      <c r="T991" s="10"/>
      <c r="U991" s="10"/>
      <c r="V991" s="10"/>
      <c r="W991" s="10"/>
      <c r="X991" s="10"/>
      <c r="Y991" s="10"/>
      <c r="Z991" s="10"/>
    </row>
    <row r="992" ht="15.75" customHeight="1" spans="1:26">
      <c r="A992" s="10"/>
      <c r="B992" s="10"/>
      <c r="C992" s="10"/>
      <c r="D992" s="10"/>
      <c r="E992" s="10"/>
      <c r="F992" s="10"/>
      <c r="K992" s="10"/>
      <c r="L992" s="10"/>
      <c r="M992" s="10"/>
      <c r="N992" s="10"/>
      <c r="O992" s="10"/>
      <c r="P992" s="10"/>
      <c r="Q992" s="10"/>
      <c r="R992" s="10"/>
      <c r="S992" s="10"/>
      <c r="T992" s="10"/>
      <c r="U992" s="10"/>
      <c r="V992" s="10"/>
      <c r="W992" s="10"/>
      <c r="X992" s="10"/>
      <c r="Y992" s="10"/>
      <c r="Z992" s="10"/>
    </row>
    <row r="993" ht="15.75" customHeight="1" spans="1:26">
      <c r="A993" s="10"/>
      <c r="B993" s="10"/>
      <c r="C993" s="10"/>
      <c r="D993" s="10"/>
      <c r="E993" s="10"/>
      <c r="F993" s="10"/>
      <c r="K993" s="10"/>
      <c r="L993" s="10"/>
      <c r="M993" s="10"/>
      <c r="N993" s="10"/>
      <c r="O993" s="10"/>
      <c r="P993" s="10"/>
      <c r="Q993" s="10"/>
      <c r="R993" s="10"/>
      <c r="S993" s="10"/>
      <c r="T993" s="10"/>
      <c r="U993" s="10"/>
      <c r="V993" s="10"/>
      <c r="W993" s="10"/>
      <c r="X993" s="10"/>
      <c r="Y993" s="10"/>
      <c r="Z993" s="10"/>
    </row>
    <row r="994" ht="15.75" customHeight="1" spans="1:26">
      <c r="A994" s="10"/>
      <c r="B994" s="10"/>
      <c r="C994" s="10"/>
      <c r="D994" s="10"/>
      <c r="E994" s="10"/>
      <c r="F994" s="10"/>
      <c r="K994" s="10"/>
      <c r="L994" s="10"/>
      <c r="M994" s="10"/>
      <c r="N994" s="10"/>
      <c r="O994" s="10"/>
      <c r="P994" s="10"/>
      <c r="Q994" s="10"/>
      <c r="R994" s="10"/>
      <c r="S994" s="10"/>
      <c r="T994" s="10"/>
      <c r="U994" s="10"/>
      <c r="V994" s="10"/>
      <c r="W994" s="10"/>
      <c r="X994" s="10"/>
      <c r="Y994" s="10"/>
      <c r="Z994" s="10"/>
    </row>
    <row r="995" ht="15.75" customHeight="1" spans="1:26">
      <c r="A995" s="10"/>
      <c r="B995" s="10"/>
      <c r="C995" s="10"/>
      <c r="D995" s="10"/>
      <c r="E995" s="10"/>
      <c r="F995" s="10"/>
      <c r="K995" s="10"/>
      <c r="L995" s="10"/>
      <c r="M995" s="10"/>
      <c r="N995" s="10"/>
      <c r="O995" s="10"/>
      <c r="P995" s="10"/>
      <c r="Q995" s="10"/>
      <c r="R995" s="10"/>
      <c r="S995" s="10"/>
      <c r="T995" s="10"/>
      <c r="U995" s="10"/>
      <c r="V995" s="10"/>
      <c r="W995" s="10"/>
      <c r="X995" s="10"/>
      <c r="Y995" s="10"/>
      <c r="Z995" s="10"/>
    </row>
    <row r="996" ht="15.75" customHeight="1" spans="1:26">
      <c r="A996" s="10"/>
      <c r="B996" s="10"/>
      <c r="C996" s="10"/>
      <c r="D996" s="10"/>
      <c r="E996" s="10"/>
      <c r="F996" s="10"/>
      <c r="K996" s="10"/>
      <c r="L996" s="10"/>
      <c r="M996" s="10"/>
      <c r="N996" s="10"/>
      <c r="O996" s="10"/>
      <c r="P996" s="10"/>
      <c r="Q996" s="10"/>
      <c r="R996" s="10"/>
      <c r="S996" s="10"/>
      <c r="T996" s="10"/>
      <c r="U996" s="10"/>
      <c r="V996" s="10"/>
      <c r="W996" s="10"/>
      <c r="X996" s="10"/>
      <c r="Y996" s="10"/>
      <c r="Z996" s="10"/>
    </row>
    <row r="997" ht="14.4"/>
    <row r="998" ht="14.4"/>
    <row r="999" ht="14.4"/>
    <row r="1000" ht="14.4"/>
  </sheetData>
  <mergeCells count="23">
    <mergeCell ref="A25:F25"/>
    <mergeCell ref="A26:E26"/>
    <mergeCell ref="A27:E27"/>
    <mergeCell ref="A28:E28"/>
    <mergeCell ref="A29:E29"/>
    <mergeCell ref="A30:E30"/>
    <mergeCell ref="A31:E31"/>
    <mergeCell ref="A32:E32"/>
    <mergeCell ref="A33:E33"/>
    <mergeCell ref="A34:E34"/>
    <mergeCell ref="A35:E35"/>
    <mergeCell ref="A37:G37"/>
    <mergeCell ref="A38:E38"/>
    <mergeCell ref="F38:G38"/>
    <mergeCell ref="A39:E39"/>
    <mergeCell ref="F39:G39"/>
    <mergeCell ref="A40:E40"/>
    <mergeCell ref="F40:G40"/>
    <mergeCell ref="A43:F43"/>
    <mergeCell ref="A44:E44"/>
    <mergeCell ref="A45:E45"/>
    <mergeCell ref="A46:E46"/>
    <mergeCell ref="A47:E47"/>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selection activeCell="F4" sqref="F4"/>
    </sheetView>
  </sheetViews>
  <sheetFormatPr defaultColWidth="14.4259259259259" defaultRowHeight="15" customHeight="1"/>
  <cols>
    <col min="1" max="1" width="7.86111111111111" customWidth="1"/>
    <col min="2" max="2" width="9.13888888888889" customWidth="1"/>
    <col min="3" max="3" width="7.13888888888889" customWidth="1"/>
    <col min="4" max="4" width="11.5740740740741" customWidth="1"/>
    <col min="5" max="5" width="8.13888888888889" customWidth="1"/>
    <col min="6" max="6" width="18.8611111111111" customWidth="1"/>
    <col min="7" max="7" width="19.7777777777778" customWidth="1"/>
    <col min="8" max="8" width="19.9074074074074" customWidth="1"/>
    <col min="9" max="9" width="18.1111111111111" customWidth="1"/>
    <col min="10" max="10" width="14.6666666666667" customWidth="1"/>
    <col min="11" max="11" width="16.3333333333333" customWidth="1"/>
    <col min="12" max="12" width="17.5555555555556" customWidth="1"/>
    <col min="13" max="26" width="8.71296296296296" customWidth="1"/>
  </cols>
  <sheetData>
    <row r="1" ht="14.4" customHeight="1" spans="1:26">
      <c r="A1" s="3" t="s">
        <v>89</v>
      </c>
      <c r="B1" s="3" t="s">
        <v>90</v>
      </c>
      <c r="C1" s="3" t="s">
        <v>91</v>
      </c>
      <c r="D1" s="3" t="s">
        <v>92</v>
      </c>
      <c r="E1" s="3" t="s">
        <v>93</v>
      </c>
      <c r="F1" s="3" t="s">
        <v>94</v>
      </c>
      <c r="G1" s="18" t="s">
        <v>95</v>
      </c>
      <c r="H1" s="17" t="s">
        <v>96</v>
      </c>
      <c r="I1" s="17" t="s">
        <v>97</v>
      </c>
      <c r="J1" s="17" t="s">
        <v>98</v>
      </c>
      <c r="K1" s="17" t="s">
        <v>99</v>
      </c>
      <c r="L1" s="17" t="s">
        <v>100</v>
      </c>
      <c r="M1" s="10"/>
      <c r="N1" s="10"/>
      <c r="O1" s="10"/>
      <c r="P1" s="10"/>
      <c r="Q1" s="10"/>
      <c r="R1" s="10"/>
      <c r="S1" s="10"/>
      <c r="T1" s="10"/>
      <c r="U1" s="10"/>
      <c r="V1" s="10"/>
      <c r="W1" s="10"/>
      <c r="X1" s="10"/>
      <c r="Y1" s="10"/>
      <c r="Z1" s="10"/>
    </row>
    <row r="2" ht="14.4" customHeight="1" spans="1:26">
      <c r="A2" s="6">
        <v>2001</v>
      </c>
      <c r="B2" s="6" t="s">
        <v>101</v>
      </c>
      <c r="C2" s="6" t="s">
        <v>102</v>
      </c>
      <c r="D2" s="6" t="s">
        <v>103</v>
      </c>
      <c r="E2" s="6">
        <v>7048</v>
      </c>
      <c r="F2" s="7">
        <v>44927</v>
      </c>
      <c r="G2" s="8">
        <f t="shared" ref="G2:G21" si="0">IF(E2&gt;=40000,15,IF(E2&gt;=30000,10,IF(E2&gt;=20000,5,0)))</f>
        <v>0</v>
      </c>
      <c r="H2" s="9" t="str">
        <f t="shared" ref="H2:H21" si="1">IF(OR(E2&gt;=20000,B2="Laptop"),"Yes","No")</f>
        <v>No</v>
      </c>
      <c r="I2" s="9">
        <f t="shared" ref="I2:I21" si="2">E2-(E2*G2/100)</f>
        <v>7048</v>
      </c>
      <c r="J2" s="9" t="str">
        <f t="shared" ref="J2:J21" si="3">TEXT(F2,"MMM")</f>
        <v>Jan</v>
      </c>
      <c r="K2" s="9" t="str">
        <f t="shared" ref="K2:K21" si="4">"Q"&amp;ROUNDUP(MONTH(F2)/3,0)</f>
        <v>Q1</v>
      </c>
      <c r="L2" s="9">
        <f t="shared" ref="L2:L21" si="5">YEAR(F2)</f>
        <v>2023</v>
      </c>
      <c r="M2" s="10"/>
      <c r="N2" s="10"/>
      <c r="O2" s="10"/>
      <c r="P2" s="10"/>
      <c r="Q2" s="10"/>
      <c r="R2" s="10"/>
      <c r="S2" s="10"/>
      <c r="T2" s="10"/>
      <c r="U2" s="10"/>
      <c r="V2" s="10"/>
      <c r="W2" s="10"/>
      <c r="X2" s="10"/>
      <c r="Y2" s="10"/>
      <c r="Z2" s="10"/>
    </row>
    <row r="3" ht="14.4" customHeight="1" spans="1:26">
      <c r="A3" s="6">
        <v>2002</v>
      </c>
      <c r="B3" s="6" t="s">
        <v>104</v>
      </c>
      <c r="C3" s="6" t="s">
        <v>105</v>
      </c>
      <c r="D3" s="6" t="s">
        <v>106</v>
      </c>
      <c r="E3" s="6">
        <v>17428</v>
      </c>
      <c r="F3" s="7">
        <v>44942</v>
      </c>
      <c r="G3" s="8">
        <f t="shared" si="0"/>
        <v>0</v>
      </c>
      <c r="H3" s="9" t="str">
        <f t="shared" si="1"/>
        <v>No</v>
      </c>
      <c r="I3" s="9">
        <f t="shared" si="2"/>
        <v>17428</v>
      </c>
      <c r="J3" s="9" t="str">
        <f t="shared" si="3"/>
        <v>Jan</v>
      </c>
      <c r="K3" s="9" t="str">
        <f t="shared" si="4"/>
        <v>Q1</v>
      </c>
      <c r="L3" s="9">
        <f t="shared" si="5"/>
        <v>2023</v>
      </c>
      <c r="M3" s="10"/>
      <c r="N3" s="10"/>
      <c r="O3" s="10"/>
      <c r="P3" s="10"/>
      <c r="Q3" s="10"/>
      <c r="R3" s="10"/>
      <c r="S3" s="10"/>
      <c r="T3" s="10"/>
      <c r="U3" s="10"/>
      <c r="V3" s="10"/>
      <c r="W3" s="10"/>
      <c r="X3" s="10"/>
      <c r="Y3" s="10"/>
      <c r="Z3" s="10"/>
    </row>
    <row r="4" ht="14.4" customHeight="1" spans="1:26">
      <c r="A4" s="6">
        <v>2003</v>
      </c>
      <c r="B4" s="6" t="s">
        <v>107</v>
      </c>
      <c r="C4" s="6" t="s">
        <v>102</v>
      </c>
      <c r="D4" s="6" t="s">
        <v>108</v>
      </c>
      <c r="E4" s="6">
        <v>23672</v>
      </c>
      <c r="F4" s="7">
        <v>44957</v>
      </c>
      <c r="G4" s="8">
        <f t="shared" si="0"/>
        <v>5</v>
      </c>
      <c r="H4" s="9" t="str">
        <f t="shared" si="1"/>
        <v>Yes</v>
      </c>
      <c r="I4" s="9">
        <f t="shared" si="2"/>
        <v>22488.4</v>
      </c>
      <c r="J4" s="9" t="str">
        <f t="shared" si="3"/>
        <v>Jan</v>
      </c>
      <c r="K4" s="9" t="str">
        <f t="shared" si="4"/>
        <v>Q1</v>
      </c>
      <c r="L4" s="9">
        <f t="shared" si="5"/>
        <v>2023</v>
      </c>
      <c r="M4" s="10"/>
      <c r="N4" s="10"/>
      <c r="O4" s="10"/>
      <c r="P4" s="10"/>
      <c r="Q4" s="10"/>
      <c r="R4" s="10"/>
      <c r="S4" s="10"/>
      <c r="T4" s="10"/>
      <c r="U4" s="10"/>
      <c r="V4" s="10"/>
      <c r="W4" s="10"/>
      <c r="X4" s="10"/>
      <c r="Y4" s="10"/>
      <c r="Z4" s="10"/>
    </row>
    <row r="5" ht="14.4" customHeight="1" spans="1:26">
      <c r="A5" s="6">
        <v>2004</v>
      </c>
      <c r="B5" s="6" t="s">
        <v>104</v>
      </c>
      <c r="C5" s="6" t="s">
        <v>109</v>
      </c>
      <c r="D5" s="6" t="s">
        <v>110</v>
      </c>
      <c r="E5" s="6">
        <v>5264</v>
      </c>
      <c r="F5" s="7">
        <v>44972</v>
      </c>
      <c r="G5" s="8">
        <f t="shared" si="0"/>
        <v>0</v>
      </c>
      <c r="H5" s="9" t="str">
        <f t="shared" si="1"/>
        <v>No</v>
      </c>
      <c r="I5" s="9">
        <f t="shared" si="2"/>
        <v>5264</v>
      </c>
      <c r="J5" s="9" t="str">
        <f t="shared" si="3"/>
        <v>Feb</v>
      </c>
      <c r="K5" s="9" t="str">
        <f t="shared" si="4"/>
        <v>Q1</v>
      </c>
      <c r="L5" s="9">
        <f t="shared" si="5"/>
        <v>2023</v>
      </c>
      <c r="M5" s="10"/>
      <c r="N5" s="10"/>
      <c r="O5" s="10"/>
      <c r="P5" s="10"/>
      <c r="Q5" s="10"/>
      <c r="R5" s="10"/>
      <c r="S5" s="10"/>
      <c r="T5" s="10"/>
      <c r="U5" s="10"/>
      <c r="V5" s="10"/>
      <c r="W5" s="10"/>
      <c r="X5" s="10"/>
      <c r="Y5" s="10"/>
      <c r="Z5" s="10"/>
    </row>
    <row r="6" ht="14.4" customHeight="1" spans="1:26">
      <c r="A6" s="6">
        <v>2005</v>
      </c>
      <c r="B6" s="6" t="s">
        <v>101</v>
      </c>
      <c r="C6" s="6" t="s">
        <v>111</v>
      </c>
      <c r="D6" s="6" t="s">
        <v>112</v>
      </c>
      <c r="E6" s="6">
        <v>43388</v>
      </c>
      <c r="F6" s="7">
        <v>44987</v>
      </c>
      <c r="G6" s="8">
        <f t="shared" si="0"/>
        <v>15</v>
      </c>
      <c r="H6" s="9" t="str">
        <f t="shared" si="1"/>
        <v>Yes</v>
      </c>
      <c r="I6" s="9">
        <f t="shared" si="2"/>
        <v>36879.8</v>
      </c>
      <c r="J6" s="9" t="str">
        <f t="shared" si="3"/>
        <v>Mar</v>
      </c>
      <c r="K6" s="9" t="str">
        <f t="shared" si="4"/>
        <v>Q1</v>
      </c>
      <c r="L6" s="9">
        <f t="shared" si="5"/>
        <v>2023</v>
      </c>
      <c r="M6" s="10"/>
      <c r="N6" s="10"/>
      <c r="O6" s="10"/>
      <c r="P6" s="10"/>
      <c r="Q6" s="10"/>
      <c r="R6" s="10"/>
      <c r="S6" s="10"/>
      <c r="T6" s="10"/>
      <c r="U6" s="10"/>
      <c r="V6" s="10"/>
      <c r="W6" s="10"/>
      <c r="X6" s="10"/>
      <c r="Y6" s="10"/>
      <c r="Z6" s="10"/>
    </row>
    <row r="7" ht="14.4" customHeight="1" spans="1:26">
      <c r="A7" s="6">
        <v>2006</v>
      </c>
      <c r="B7" s="6" t="s">
        <v>107</v>
      </c>
      <c r="C7" s="6" t="s">
        <v>111</v>
      </c>
      <c r="D7" s="6" t="s">
        <v>113</v>
      </c>
      <c r="E7" s="6">
        <v>19757</v>
      </c>
      <c r="F7" s="7">
        <v>45002</v>
      </c>
      <c r="G7" s="8">
        <f t="shared" si="0"/>
        <v>0</v>
      </c>
      <c r="H7" s="9" t="str">
        <f t="shared" si="1"/>
        <v>No</v>
      </c>
      <c r="I7" s="9">
        <f t="shared" si="2"/>
        <v>19757</v>
      </c>
      <c r="J7" s="9" t="str">
        <f t="shared" si="3"/>
        <v>Mar</v>
      </c>
      <c r="K7" s="9" t="str">
        <f t="shared" si="4"/>
        <v>Q1</v>
      </c>
      <c r="L7" s="9">
        <f t="shared" si="5"/>
        <v>2023</v>
      </c>
      <c r="M7" s="10"/>
      <c r="N7" s="10"/>
      <c r="O7" s="10"/>
      <c r="P7" s="10"/>
      <c r="Q7" s="10"/>
      <c r="R7" s="10"/>
      <c r="S7" s="10"/>
      <c r="T7" s="10"/>
      <c r="U7" s="10"/>
      <c r="V7" s="10"/>
      <c r="W7" s="10"/>
      <c r="X7" s="10"/>
      <c r="Y7" s="10"/>
      <c r="Z7" s="10"/>
    </row>
    <row r="8" ht="14.4" customHeight="1" spans="1:26">
      <c r="A8" s="6">
        <v>2007</v>
      </c>
      <c r="B8" s="6" t="s">
        <v>107</v>
      </c>
      <c r="C8" s="6" t="s">
        <v>109</v>
      </c>
      <c r="D8" s="6" t="s">
        <v>114</v>
      </c>
      <c r="E8" s="6">
        <v>32058</v>
      </c>
      <c r="F8" s="7">
        <v>45017</v>
      </c>
      <c r="G8" s="8">
        <f t="shared" si="0"/>
        <v>10</v>
      </c>
      <c r="H8" s="9" t="str">
        <f t="shared" si="1"/>
        <v>Yes</v>
      </c>
      <c r="I8" s="9">
        <f t="shared" si="2"/>
        <v>28852.2</v>
      </c>
      <c r="J8" s="9" t="str">
        <f t="shared" si="3"/>
        <v>Apr</v>
      </c>
      <c r="K8" s="9" t="str">
        <f t="shared" si="4"/>
        <v>Q2</v>
      </c>
      <c r="L8" s="9">
        <f t="shared" si="5"/>
        <v>2023</v>
      </c>
      <c r="M8" s="10"/>
      <c r="N8" s="10"/>
      <c r="O8" s="10"/>
      <c r="P8" s="10"/>
      <c r="Q8" s="10"/>
      <c r="R8" s="10"/>
      <c r="S8" s="10"/>
      <c r="T8" s="10"/>
      <c r="U8" s="10"/>
      <c r="V8" s="10"/>
      <c r="W8" s="10"/>
      <c r="X8" s="10"/>
      <c r="Y8" s="10"/>
      <c r="Z8" s="10"/>
    </row>
    <row r="9" ht="14.4" customHeight="1" spans="1:26">
      <c r="A9" s="6">
        <v>2008</v>
      </c>
      <c r="B9" s="6" t="s">
        <v>101</v>
      </c>
      <c r="C9" s="6" t="s">
        <v>109</v>
      </c>
      <c r="D9" s="6" t="s">
        <v>115</v>
      </c>
      <c r="E9" s="6">
        <v>46429</v>
      </c>
      <c r="F9" s="7">
        <v>45032</v>
      </c>
      <c r="G9" s="8">
        <f t="shared" si="0"/>
        <v>15</v>
      </c>
      <c r="H9" s="9" t="str">
        <f t="shared" si="1"/>
        <v>Yes</v>
      </c>
      <c r="I9" s="9">
        <f t="shared" si="2"/>
        <v>39464.65</v>
      </c>
      <c r="J9" s="9" t="str">
        <f t="shared" si="3"/>
        <v>Apr</v>
      </c>
      <c r="K9" s="9" t="str">
        <f t="shared" si="4"/>
        <v>Q2</v>
      </c>
      <c r="L9" s="9">
        <f t="shared" si="5"/>
        <v>2023</v>
      </c>
      <c r="M9" s="10"/>
      <c r="N9" s="10"/>
      <c r="O9" s="10"/>
      <c r="P9" s="10"/>
      <c r="Q9" s="10"/>
      <c r="R9" s="10"/>
      <c r="S9" s="10"/>
      <c r="T9" s="10"/>
      <c r="U9" s="10"/>
      <c r="V9" s="10"/>
      <c r="W9" s="10"/>
      <c r="X9" s="10"/>
      <c r="Y9" s="10"/>
      <c r="Z9" s="10"/>
    </row>
    <row r="10" ht="14.4" customHeight="1" spans="1:26">
      <c r="A10" s="6">
        <v>2009</v>
      </c>
      <c r="B10" s="6" t="s">
        <v>104</v>
      </c>
      <c r="C10" s="6" t="s">
        <v>109</v>
      </c>
      <c r="D10" s="6" t="s">
        <v>116</v>
      </c>
      <c r="E10" s="6">
        <v>19746</v>
      </c>
      <c r="F10" s="7">
        <v>45047</v>
      </c>
      <c r="G10" s="8">
        <f t="shared" si="0"/>
        <v>0</v>
      </c>
      <c r="H10" s="9" t="str">
        <f t="shared" si="1"/>
        <v>No</v>
      </c>
      <c r="I10" s="9">
        <f t="shared" si="2"/>
        <v>19746</v>
      </c>
      <c r="J10" s="9" t="str">
        <f t="shared" si="3"/>
        <v>May</v>
      </c>
      <c r="K10" s="9" t="str">
        <f t="shared" si="4"/>
        <v>Q2</v>
      </c>
      <c r="L10" s="9">
        <f t="shared" si="5"/>
        <v>2023</v>
      </c>
      <c r="M10" s="10"/>
      <c r="N10" s="10"/>
      <c r="O10" s="10"/>
      <c r="P10" s="10"/>
      <c r="Q10" s="10"/>
      <c r="R10" s="10"/>
      <c r="S10" s="10"/>
      <c r="T10" s="10"/>
      <c r="U10" s="10"/>
      <c r="V10" s="10"/>
      <c r="W10" s="10"/>
      <c r="X10" s="10"/>
      <c r="Y10" s="10"/>
      <c r="Z10" s="10"/>
    </row>
    <row r="11" ht="14.4" customHeight="1" spans="1:26">
      <c r="A11" s="6">
        <v>2010</v>
      </c>
      <c r="B11" s="6" t="s">
        <v>101</v>
      </c>
      <c r="C11" s="6" t="s">
        <v>102</v>
      </c>
      <c r="D11" s="6" t="s">
        <v>117</v>
      </c>
      <c r="E11" s="6">
        <v>35185</v>
      </c>
      <c r="F11" s="7">
        <v>45062</v>
      </c>
      <c r="G11" s="8">
        <f t="shared" si="0"/>
        <v>10</v>
      </c>
      <c r="H11" s="9" t="str">
        <f t="shared" si="1"/>
        <v>Yes</v>
      </c>
      <c r="I11" s="9">
        <f t="shared" si="2"/>
        <v>31666.5</v>
      </c>
      <c r="J11" s="9" t="str">
        <f t="shared" si="3"/>
        <v>May</v>
      </c>
      <c r="K11" s="9" t="str">
        <f t="shared" si="4"/>
        <v>Q2</v>
      </c>
      <c r="L11" s="9">
        <f t="shared" si="5"/>
        <v>2023</v>
      </c>
      <c r="M11" s="10"/>
      <c r="N11" s="10"/>
      <c r="O11" s="10"/>
      <c r="P11" s="10"/>
      <c r="Q11" s="10"/>
      <c r="R11" s="10"/>
      <c r="S11" s="10"/>
      <c r="T11" s="10"/>
      <c r="U11" s="10"/>
      <c r="V11" s="10"/>
      <c r="W11" s="10"/>
      <c r="X11" s="10"/>
      <c r="Y11" s="10"/>
      <c r="Z11" s="10"/>
    </row>
    <row r="12" ht="14.4" customHeight="1" spans="1:26">
      <c r="A12" s="6">
        <v>2011</v>
      </c>
      <c r="B12" s="6" t="s">
        <v>101</v>
      </c>
      <c r="C12" s="6" t="s">
        <v>109</v>
      </c>
      <c r="D12" s="6" t="s">
        <v>118</v>
      </c>
      <c r="E12" s="6">
        <v>33920</v>
      </c>
      <c r="F12" s="7">
        <v>45077</v>
      </c>
      <c r="G12" s="8">
        <f t="shared" si="0"/>
        <v>10</v>
      </c>
      <c r="H12" s="9" t="str">
        <f t="shared" si="1"/>
        <v>Yes</v>
      </c>
      <c r="I12" s="9">
        <f t="shared" si="2"/>
        <v>30528</v>
      </c>
      <c r="J12" s="9" t="str">
        <f t="shared" si="3"/>
        <v>May</v>
      </c>
      <c r="K12" s="9" t="str">
        <f t="shared" si="4"/>
        <v>Q2</v>
      </c>
      <c r="L12" s="9">
        <f t="shared" si="5"/>
        <v>2023</v>
      </c>
      <c r="M12" s="10"/>
      <c r="N12" s="10"/>
      <c r="O12" s="10"/>
      <c r="P12" s="10"/>
      <c r="Q12" s="10"/>
      <c r="R12" s="10"/>
      <c r="S12" s="10"/>
      <c r="T12" s="10"/>
      <c r="U12" s="10"/>
      <c r="V12" s="10"/>
      <c r="W12" s="10"/>
      <c r="X12" s="10"/>
      <c r="Y12" s="10"/>
      <c r="Z12" s="10"/>
    </row>
    <row r="13" ht="14.4" customHeight="1" spans="1:26">
      <c r="A13" s="6">
        <v>2012</v>
      </c>
      <c r="B13" s="6" t="s">
        <v>119</v>
      </c>
      <c r="C13" s="6" t="s">
        <v>111</v>
      </c>
      <c r="D13" s="6" t="s">
        <v>120</v>
      </c>
      <c r="E13" s="6">
        <v>35611</v>
      </c>
      <c r="F13" s="7">
        <v>45092</v>
      </c>
      <c r="G13" s="8">
        <f t="shared" si="0"/>
        <v>10</v>
      </c>
      <c r="H13" s="9" t="str">
        <f t="shared" si="1"/>
        <v>Yes</v>
      </c>
      <c r="I13" s="9">
        <f t="shared" si="2"/>
        <v>32049.9</v>
      </c>
      <c r="J13" s="9" t="str">
        <f t="shared" si="3"/>
        <v>Jun</v>
      </c>
      <c r="K13" s="9" t="str">
        <f t="shared" si="4"/>
        <v>Q2</v>
      </c>
      <c r="L13" s="9">
        <f t="shared" si="5"/>
        <v>2023</v>
      </c>
      <c r="M13" s="10"/>
      <c r="N13" s="10"/>
      <c r="O13" s="10"/>
      <c r="P13" s="10"/>
      <c r="Q13" s="10"/>
      <c r="R13" s="10"/>
      <c r="S13" s="10"/>
      <c r="T13" s="10"/>
      <c r="U13" s="10"/>
      <c r="V13" s="10"/>
      <c r="W13" s="10"/>
      <c r="X13" s="10"/>
      <c r="Y13" s="10"/>
      <c r="Z13" s="10"/>
    </row>
    <row r="14" ht="14.4" customHeight="1" spans="1:26">
      <c r="A14" s="6">
        <v>2013</v>
      </c>
      <c r="B14" s="6" t="s">
        <v>121</v>
      </c>
      <c r="C14" s="6" t="s">
        <v>109</v>
      </c>
      <c r="D14" s="6" t="s">
        <v>122</v>
      </c>
      <c r="E14" s="6">
        <v>15560</v>
      </c>
      <c r="F14" s="7">
        <v>45107</v>
      </c>
      <c r="G14" s="8">
        <f t="shared" si="0"/>
        <v>0</v>
      </c>
      <c r="H14" s="9" t="str">
        <f t="shared" si="1"/>
        <v>Yes</v>
      </c>
      <c r="I14" s="9">
        <f t="shared" si="2"/>
        <v>15560</v>
      </c>
      <c r="J14" s="9" t="str">
        <f t="shared" si="3"/>
        <v>Jun</v>
      </c>
      <c r="K14" s="9" t="str">
        <f t="shared" si="4"/>
        <v>Q2</v>
      </c>
      <c r="L14" s="9">
        <f t="shared" si="5"/>
        <v>2023</v>
      </c>
      <c r="M14" s="10"/>
      <c r="N14" s="10"/>
      <c r="O14" s="10"/>
      <c r="P14" s="10"/>
      <c r="Q14" s="10"/>
      <c r="R14" s="10"/>
      <c r="S14" s="10"/>
      <c r="T14" s="10"/>
      <c r="U14" s="10"/>
      <c r="V14" s="10"/>
      <c r="W14" s="10"/>
      <c r="X14" s="10"/>
      <c r="Y14" s="10"/>
      <c r="Z14" s="10"/>
    </row>
    <row r="15" ht="14.4" customHeight="1" spans="1:26">
      <c r="A15" s="6">
        <v>2014</v>
      </c>
      <c r="B15" s="6" t="s">
        <v>121</v>
      </c>
      <c r="C15" s="6" t="s">
        <v>102</v>
      </c>
      <c r="D15" s="6" t="s">
        <v>123</v>
      </c>
      <c r="E15" s="6">
        <v>7283</v>
      </c>
      <c r="F15" s="7">
        <v>45122</v>
      </c>
      <c r="G15" s="8">
        <f t="shared" si="0"/>
        <v>0</v>
      </c>
      <c r="H15" s="9" t="str">
        <f t="shared" si="1"/>
        <v>Yes</v>
      </c>
      <c r="I15" s="9">
        <f t="shared" si="2"/>
        <v>7283</v>
      </c>
      <c r="J15" s="9" t="str">
        <f t="shared" si="3"/>
        <v>Jul</v>
      </c>
      <c r="K15" s="9" t="str">
        <f t="shared" si="4"/>
        <v>Q3</v>
      </c>
      <c r="L15" s="9">
        <f t="shared" si="5"/>
        <v>2023</v>
      </c>
      <c r="M15" s="10"/>
      <c r="N15" s="10"/>
      <c r="O15" s="10"/>
      <c r="P15" s="10"/>
      <c r="Q15" s="10"/>
      <c r="R15" s="10"/>
      <c r="S15" s="10"/>
      <c r="T15" s="10"/>
      <c r="U15" s="10"/>
      <c r="V15" s="10"/>
      <c r="W15" s="10"/>
      <c r="X15" s="10"/>
      <c r="Y15" s="10"/>
      <c r="Z15" s="10"/>
    </row>
    <row r="16" ht="14.4" customHeight="1" spans="1:26">
      <c r="A16" s="6">
        <v>2015</v>
      </c>
      <c r="B16" s="6" t="s">
        <v>121</v>
      </c>
      <c r="C16" s="6" t="s">
        <v>109</v>
      </c>
      <c r="D16" s="6" t="s">
        <v>124</v>
      </c>
      <c r="E16" s="6">
        <v>15678</v>
      </c>
      <c r="F16" s="7">
        <v>45137</v>
      </c>
      <c r="G16" s="8">
        <f t="shared" si="0"/>
        <v>0</v>
      </c>
      <c r="H16" s="9" t="str">
        <f t="shared" si="1"/>
        <v>Yes</v>
      </c>
      <c r="I16" s="9">
        <f t="shared" si="2"/>
        <v>15678</v>
      </c>
      <c r="J16" s="9" t="str">
        <f t="shared" si="3"/>
        <v>Jul</v>
      </c>
      <c r="K16" s="9" t="str">
        <f t="shared" si="4"/>
        <v>Q3</v>
      </c>
      <c r="L16" s="9">
        <f t="shared" si="5"/>
        <v>2023</v>
      </c>
      <c r="M16" s="10"/>
      <c r="N16" s="10"/>
      <c r="O16" s="10"/>
      <c r="P16" s="10"/>
      <c r="Q16" s="10"/>
      <c r="R16" s="10"/>
      <c r="S16" s="10"/>
      <c r="T16" s="10"/>
      <c r="U16" s="10"/>
      <c r="V16" s="10"/>
      <c r="W16" s="10"/>
      <c r="X16" s="10"/>
      <c r="Y16" s="10"/>
      <c r="Z16" s="10"/>
    </row>
    <row r="17" ht="14.4" customHeight="1" spans="1:26">
      <c r="A17" s="6">
        <v>2016</v>
      </c>
      <c r="B17" s="6" t="s">
        <v>107</v>
      </c>
      <c r="C17" s="6" t="s">
        <v>109</v>
      </c>
      <c r="D17" s="6" t="s">
        <v>125</v>
      </c>
      <c r="E17" s="6">
        <v>5277</v>
      </c>
      <c r="F17" s="7">
        <v>45152</v>
      </c>
      <c r="G17" s="8">
        <f t="shared" si="0"/>
        <v>0</v>
      </c>
      <c r="H17" s="9" t="str">
        <f t="shared" si="1"/>
        <v>No</v>
      </c>
      <c r="I17" s="9">
        <f t="shared" si="2"/>
        <v>5277</v>
      </c>
      <c r="J17" s="9" t="str">
        <f t="shared" si="3"/>
        <v>Aug</v>
      </c>
      <c r="K17" s="9" t="str">
        <f t="shared" si="4"/>
        <v>Q3</v>
      </c>
      <c r="L17" s="9">
        <f t="shared" si="5"/>
        <v>2023</v>
      </c>
      <c r="M17" s="10"/>
      <c r="N17" s="10"/>
      <c r="O17" s="10"/>
      <c r="P17" s="10"/>
      <c r="Q17" s="10"/>
      <c r="R17" s="10"/>
      <c r="S17" s="10"/>
      <c r="T17" s="10"/>
      <c r="U17" s="10"/>
      <c r="V17" s="10"/>
      <c r="W17" s="10"/>
      <c r="X17" s="10"/>
      <c r="Y17" s="10"/>
      <c r="Z17" s="10"/>
    </row>
    <row r="18" ht="14.4" customHeight="1" spans="1:26">
      <c r="A18" s="6">
        <v>2017</v>
      </c>
      <c r="B18" s="6" t="s">
        <v>119</v>
      </c>
      <c r="C18" s="6" t="s">
        <v>111</v>
      </c>
      <c r="D18" s="6" t="s">
        <v>126</v>
      </c>
      <c r="E18" s="6">
        <v>41871</v>
      </c>
      <c r="F18" s="7">
        <v>45167</v>
      </c>
      <c r="G18" s="8">
        <f t="shared" si="0"/>
        <v>15</v>
      </c>
      <c r="H18" s="9" t="str">
        <f t="shared" si="1"/>
        <v>Yes</v>
      </c>
      <c r="I18" s="9">
        <f t="shared" si="2"/>
        <v>35590.35</v>
      </c>
      <c r="J18" s="9" t="str">
        <f t="shared" si="3"/>
        <v>Aug</v>
      </c>
      <c r="K18" s="9" t="str">
        <f t="shared" si="4"/>
        <v>Q3</v>
      </c>
      <c r="L18" s="9">
        <f t="shared" si="5"/>
        <v>2023</v>
      </c>
      <c r="M18" s="10"/>
      <c r="N18" s="10"/>
      <c r="O18" s="10"/>
      <c r="P18" s="10"/>
      <c r="Q18" s="10"/>
      <c r="R18" s="10"/>
      <c r="S18" s="10"/>
      <c r="T18" s="10"/>
      <c r="U18" s="10"/>
      <c r="V18" s="10"/>
      <c r="W18" s="10"/>
      <c r="X18" s="10"/>
      <c r="Y18" s="10"/>
      <c r="Z18" s="10"/>
    </row>
    <row r="19" ht="14.4" customHeight="1" spans="1:26">
      <c r="A19" s="6">
        <v>2018</v>
      </c>
      <c r="B19" s="6" t="s">
        <v>119</v>
      </c>
      <c r="C19" s="6" t="s">
        <v>105</v>
      </c>
      <c r="D19" s="6" t="s">
        <v>127</v>
      </c>
      <c r="E19" s="6">
        <v>38161</v>
      </c>
      <c r="F19" s="7">
        <v>45182</v>
      </c>
      <c r="G19" s="8">
        <f t="shared" si="0"/>
        <v>10</v>
      </c>
      <c r="H19" s="9" t="str">
        <f t="shared" si="1"/>
        <v>Yes</v>
      </c>
      <c r="I19" s="9">
        <f t="shared" si="2"/>
        <v>34344.9</v>
      </c>
      <c r="J19" s="9" t="str">
        <f t="shared" si="3"/>
        <v>Sep</v>
      </c>
      <c r="K19" s="9" t="str">
        <f t="shared" si="4"/>
        <v>Q3</v>
      </c>
      <c r="L19" s="9">
        <f t="shared" si="5"/>
        <v>2023</v>
      </c>
      <c r="M19" s="10"/>
      <c r="N19" s="10"/>
      <c r="O19" s="10"/>
      <c r="P19" s="10"/>
      <c r="Q19" s="10"/>
      <c r="R19" s="10"/>
      <c r="S19" s="10"/>
      <c r="T19" s="10"/>
      <c r="U19" s="10"/>
      <c r="V19" s="10"/>
      <c r="W19" s="10"/>
      <c r="X19" s="10"/>
      <c r="Y19" s="10"/>
      <c r="Z19" s="10"/>
    </row>
    <row r="20" ht="14.4" customHeight="1" spans="1:26">
      <c r="A20" s="6">
        <v>2019</v>
      </c>
      <c r="B20" s="6" t="s">
        <v>107</v>
      </c>
      <c r="C20" s="6" t="s">
        <v>105</v>
      </c>
      <c r="D20" s="6" t="s">
        <v>128</v>
      </c>
      <c r="E20" s="6">
        <v>30436</v>
      </c>
      <c r="F20" s="7">
        <v>45197</v>
      </c>
      <c r="G20" s="8">
        <f t="shared" si="0"/>
        <v>10</v>
      </c>
      <c r="H20" s="9" t="str">
        <f t="shared" si="1"/>
        <v>Yes</v>
      </c>
      <c r="I20" s="9">
        <f t="shared" si="2"/>
        <v>27392.4</v>
      </c>
      <c r="J20" s="9" t="str">
        <f t="shared" si="3"/>
        <v>Sep</v>
      </c>
      <c r="K20" s="9" t="str">
        <f t="shared" si="4"/>
        <v>Q3</v>
      </c>
      <c r="L20" s="9">
        <f t="shared" si="5"/>
        <v>2023</v>
      </c>
      <c r="M20" s="10"/>
      <c r="N20" s="10"/>
      <c r="O20" s="10"/>
      <c r="P20" s="10"/>
      <c r="Q20" s="10"/>
      <c r="R20" s="10"/>
      <c r="S20" s="10"/>
      <c r="T20" s="10"/>
      <c r="U20" s="10"/>
      <c r="V20" s="10"/>
      <c r="W20" s="10"/>
      <c r="X20" s="10"/>
      <c r="Y20" s="10"/>
      <c r="Z20" s="10"/>
    </row>
    <row r="21" ht="15.75" customHeight="1" spans="1:26">
      <c r="A21" s="6">
        <v>2020</v>
      </c>
      <c r="B21" s="6" t="s">
        <v>104</v>
      </c>
      <c r="C21" s="6" t="s">
        <v>105</v>
      </c>
      <c r="D21" s="6" t="s">
        <v>129</v>
      </c>
      <c r="E21" s="6">
        <v>33953</v>
      </c>
      <c r="F21" s="7">
        <v>45212</v>
      </c>
      <c r="G21" s="8">
        <f t="shared" si="0"/>
        <v>10</v>
      </c>
      <c r="H21" s="9" t="str">
        <f t="shared" si="1"/>
        <v>Yes</v>
      </c>
      <c r="I21" s="9">
        <f t="shared" si="2"/>
        <v>30557.7</v>
      </c>
      <c r="J21" s="9" t="str">
        <f t="shared" si="3"/>
        <v>Oct</v>
      </c>
      <c r="K21" s="9" t="str">
        <f t="shared" si="4"/>
        <v>Q4</v>
      </c>
      <c r="L21" s="9">
        <f t="shared" si="5"/>
        <v>2023</v>
      </c>
      <c r="M21" s="10"/>
      <c r="N21" s="10"/>
      <c r="O21" s="10"/>
      <c r="P21" s="10"/>
      <c r="Q21" s="10"/>
      <c r="R21" s="10"/>
      <c r="S21" s="10"/>
      <c r="T21" s="10"/>
      <c r="U21" s="10"/>
      <c r="V21" s="10"/>
      <c r="W21" s="10"/>
      <c r="X21" s="10"/>
      <c r="Y21" s="10"/>
      <c r="Z21" s="10"/>
    </row>
    <row r="22" ht="15.75" customHeight="1" spans="1:2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spans="6:26">
      <c r="F23" s="10"/>
      <c r="G23" s="10"/>
      <c r="H23" s="10"/>
      <c r="I23" s="10"/>
      <c r="J23" s="10"/>
      <c r="K23" s="10"/>
      <c r="L23" s="10"/>
      <c r="M23" s="10"/>
      <c r="N23" s="10"/>
      <c r="O23" s="10"/>
      <c r="P23" s="10"/>
      <c r="Q23" s="10"/>
      <c r="R23" s="10"/>
      <c r="S23" s="10"/>
      <c r="T23" s="10"/>
      <c r="U23" s="10"/>
      <c r="V23" s="10"/>
      <c r="W23" s="10"/>
      <c r="X23" s="10"/>
      <c r="Y23" s="10"/>
      <c r="Z23" s="10"/>
    </row>
    <row r="24" ht="15.75" customHeight="1" spans="1:26">
      <c r="A24" s="19"/>
      <c r="B24" s="20" t="s">
        <v>72</v>
      </c>
      <c r="C24" s="20"/>
      <c r="D24" s="20"/>
      <c r="E24" s="20"/>
      <c r="F24" s="20"/>
      <c r="G24" s="10"/>
      <c r="H24" s="10"/>
      <c r="I24" s="10"/>
      <c r="J24" s="10"/>
      <c r="K24" s="10"/>
      <c r="L24" s="10"/>
      <c r="M24" s="10"/>
      <c r="N24" s="10"/>
      <c r="O24" s="10"/>
      <c r="P24" s="10"/>
      <c r="Q24" s="10"/>
      <c r="R24" s="10"/>
      <c r="S24" s="10"/>
      <c r="T24" s="10"/>
      <c r="U24" s="10"/>
      <c r="V24" s="10"/>
      <c r="W24" s="10"/>
      <c r="X24" s="10"/>
      <c r="Y24" s="10"/>
      <c r="Z24" s="10"/>
    </row>
    <row r="25" ht="15.75" customHeight="1" spans="1:26">
      <c r="A25" s="21" t="s">
        <v>130</v>
      </c>
      <c r="B25" s="22"/>
      <c r="C25" s="22"/>
      <c r="D25" s="22"/>
      <c r="E25" s="23"/>
      <c r="F25" s="24">
        <f>SUM(E2:E21)</f>
        <v>507725</v>
      </c>
      <c r="G25" s="10"/>
      <c r="H25" s="10"/>
      <c r="I25" s="10"/>
      <c r="J25" s="10"/>
      <c r="K25" s="10"/>
      <c r="L25" s="10"/>
      <c r="M25" s="10"/>
      <c r="N25" s="10"/>
      <c r="O25" s="10"/>
      <c r="P25" s="10"/>
      <c r="Q25" s="10"/>
      <c r="R25" s="10"/>
      <c r="S25" s="10"/>
      <c r="T25" s="10"/>
      <c r="U25" s="10"/>
      <c r="V25" s="10"/>
      <c r="W25" s="10"/>
      <c r="X25" s="10"/>
      <c r="Y25" s="10"/>
      <c r="Z25" s="10"/>
    </row>
    <row r="26" ht="15.75" customHeight="1" spans="1:26">
      <c r="A26" s="21" t="s">
        <v>131</v>
      </c>
      <c r="B26" s="22"/>
      <c r="C26" s="22"/>
      <c r="D26" s="22"/>
      <c r="E26" s="23"/>
      <c r="F26" s="24">
        <f>SUMIF(C2:C21,"South",E2:E21)</f>
        <v>73188</v>
      </c>
      <c r="G26" s="10"/>
      <c r="H26" s="10"/>
      <c r="I26" s="10"/>
      <c r="J26" s="10"/>
      <c r="K26" s="10"/>
      <c r="L26" s="10"/>
      <c r="M26" s="10"/>
      <c r="N26" s="10"/>
      <c r="O26" s="10"/>
      <c r="P26" s="10"/>
      <c r="Q26" s="10"/>
      <c r="R26" s="10"/>
      <c r="S26" s="10"/>
      <c r="T26" s="10"/>
      <c r="U26" s="10"/>
      <c r="V26" s="10"/>
      <c r="W26" s="10"/>
      <c r="X26" s="10"/>
      <c r="Y26" s="10"/>
      <c r="Z26" s="10"/>
    </row>
    <row r="27" ht="15.75" customHeight="1" spans="1:26">
      <c r="A27" s="21" t="s">
        <v>132</v>
      </c>
      <c r="B27" s="22"/>
      <c r="C27" s="22"/>
      <c r="D27" s="22"/>
      <c r="E27" s="23"/>
      <c r="F27" s="24">
        <f>SUMIF(B2:B21,"Keyboard",E2:E21)</f>
        <v>165970</v>
      </c>
      <c r="G27" s="10"/>
      <c r="H27" s="10"/>
      <c r="I27" s="10"/>
      <c r="J27" s="10"/>
      <c r="K27" s="10"/>
      <c r="L27" s="10"/>
      <c r="M27" s="10"/>
      <c r="N27" s="10"/>
      <c r="O27" s="10"/>
      <c r="P27" s="10"/>
      <c r="Q27" s="10"/>
      <c r="R27" s="10"/>
      <c r="S27" s="10"/>
      <c r="T27" s="10"/>
      <c r="U27" s="10"/>
      <c r="V27" s="10"/>
      <c r="W27" s="10"/>
      <c r="X27" s="10"/>
      <c r="Y27" s="10"/>
      <c r="Z27" s="10"/>
    </row>
    <row r="28" ht="15.75" customHeight="1" spans="1:26">
      <c r="A28" s="21" t="s">
        <v>133</v>
      </c>
      <c r="B28" s="22"/>
      <c r="C28" s="22"/>
      <c r="D28" s="22"/>
      <c r="E28" s="23"/>
      <c r="F28" s="24">
        <f>SUMIFS(E2:E21,C2:C21,"South",B2:B21,"Mouse")</f>
        <v>23672</v>
      </c>
      <c r="G28" s="10"/>
      <c r="H28" s="10"/>
      <c r="I28" s="10"/>
      <c r="J28" s="10"/>
      <c r="K28" s="10"/>
      <c r="L28" s="10"/>
      <c r="M28" s="10"/>
      <c r="N28" s="10"/>
      <c r="O28" s="10"/>
      <c r="P28" s="10"/>
      <c r="Q28" s="10"/>
      <c r="R28" s="10"/>
      <c r="S28" s="10"/>
      <c r="T28" s="10"/>
      <c r="U28" s="10"/>
      <c r="V28" s="10"/>
      <c r="W28" s="10"/>
      <c r="X28" s="10"/>
      <c r="Y28" s="10"/>
      <c r="Z28" s="10"/>
    </row>
    <row r="29" ht="15.75" customHeight="1" spans="1:26">
      <c r="A29" s="21" t="s">
        <v>134</v>
      </c>
      <c r="B29" s="22"/>
      <c r="C29" s="22"/>
      <c r="D29" s="22"/>
      <c r="E29" s="23"/>
      <c r="F29" s="24">
        <f>AVERAGEIF(E2:E21,"&gt;30000")</f>
        <v>37101.2</v>
      </c>
      <c r="G29" s="10"/>
      <c r="H29" s="10"/>
      <c r="I29" s="10"/>
      <c r="J29" s="10"/>
      <c r="K29" s="10"/>
      <c r="L29" s="10"/>
      <c r="M29" s="10"/>
      <c r="N29" s="10"/>
      <c r="O29" s="10"/>
      <c r="P29" s="10"/>
      <c r="Q29" s="10"/>
      <c r="R29" s="10"/>
      <c r="S29" s="10"/>
      <c r="T29" s="10"/>
      <c r="U29" s="10"/>
      <c r="V29" s="10"/>
      <c r="W29" s="10"/>
      <c r="X29" s="10"/>
      <c r="Y29" s="10"/>
      <c r="Z29" s="10"/>
    </row>
    <row r="30" ht="15.75" customHeight="1" spans="1:26">
      <c r="A30" s="21" t="s">
        <v>135</v>
      </c>
      <c r="B30" s="22"/>
      <c r="C30" s="22"/>
      <c r="D30" s="22"/>
      <c r="E30" s="23"/>
      <c r="F30" s="25">
        <f>COUNTIF(E2:E21,"&gt;30000")</f>
        <v>10</v>
      </c>
      <c r="G30" s="10"/>
      <c r="H30" s="10"/>
      <c r="I30" s="10"/>
      <c r="J30" s="10"/>
      <c r="K30" s="10"/>
      <c r="L30" s="10"/>
      <c r="M30" s="10"/>
      <c r="N30" s="10"/>
      <c r="O30" s="10"/>
      <c r="P30" s="10"/>
      <c r="Q30" s="10"/>
      <c r="R30" s="10"/>
      <c r="S30" s="10"/>
      <c r="T30" s="10"/>
      <c r="U30" s="10"/>
      <c r="V30" s="10"/>
      <c r="W30" s="10"/>
      <c r="X30" s="10"/>
      <c r="Y30" s="10"/>
      <c r="Z30" s="10"/>
    </row>
    <row r="31" ht="15.75" customHeight="1" spans="1:26">
      <c r="A31" s="21" t="s">
        <v>136</v>
      </c>
      <c r="B31" s="22"/>
      <c r="C31" s="22"/>
      <c r="D31" s="22"/>
      <c r="E31" s="23"/>
      <c r="F31" s="25">
        <f>COUNTIF(H2:H21,"Yes")</f>
        <v>14</v>
      </c>
      <c r="G31" s="10"/>
      <c r="H31" s="10"/>
      <c r="I31" s="10"/>
      <c r="J31" s="10"/>
      <c r="K31" s="10"/>
      <c r="L31" s="10"/>
      <c r="M31" s="10"/>
      <c r="N31" s="10"/>
      <c r="O31" s="10"/>
      <c r="P31" s="10"/>
      <c r="Q31" s="10"/>
      <c r="R31" s="10"/>
      <c r="S31" s="10"/>
      <c r="T31" s="10"/>
      <c r="U31" s="10"/>
      <c r="V31" s="10"/>
      <c r="W31" s="10"/>
      <c r="X31" s="10"/>
      <c r="Y31" s="10"/>
      <c r="Z31" s="10"/>
    </row>
    <row r="32" ht="15.75" customHeight="1" spans="1:26">
      <c r="A32" s="26" t="s">
        <v>137</v>
      </c>
      <c r="B32" s="27"/>
      <c r="C32" s="27"/>
      <c r="D32" s="27"/>
      <c r="E32" s="27"/>
      <c r="F32" s="9">
        <f>SUMIFS(E2:E21,C2:C21,"East",B2:B21,"Laptop")</f>
        <v>31238</v>
      </c>
      <c r="G32" s="10"/>
      <c r="H32" s="10"/>
      <c r="I32" s="10"/>
      <c r="J32" s="10"/>
      <c r="K32" s="10"/>
      <c r="L32" s="10"/>
      <c r="M32" s="10"/>
      <c r="N32" s="10"/>
      <c r="O32" s="10"/>
      <c r="P32" s="10"/>
      <c r="Q32" s="10"/>
      <c r="R32" s="10"/>
      <c r="S32" s="10"/>
      <c r="T32" s="10"/>
      <c r="U32" s="10"/>
      <c r="V32" s="10"/>
      <c r="W32" s="10"/>
      <c r="X32" s="10"/>
      <c r="Y32" s="10"/>
      <c r="Z32" s="10"/>
    </row>
    <row r="33" ht="15.75" customHeight="1" spans="1:26">
      <c r="A33" s="21" t="s">
        <v>138</v>
      </c>
      <c r="B33" s="21"/>
      <c r="C33" s="21"/>
      <c r="D33" s="21"/>
      <c r="E33" s="21"/>
      <c r="F33" s="9">
        <f>AVERAGEIF(C2:C21,"North",E2:E21)</f>
        <v>35156.75</v>
      </c>
      <c r="G33" s="10"/>
      <c r="H33" s="10"/>
      <c r="I33" s="10"/>
      <c r="J33" s="10"/>
      <c r="K33" s="10"/>
      <c r="L33" s="10"/>
      <c r="M33" s="10"/>
      <c r="N33" s="10"/>
      <c r="O33" s="10"/>
      <c r="P33" s="10"/>
      <c r="Q33" s="10"/>
      <c r="R33" s="10"/>
      <c r="S33" s="10"/>
      <c r="T33" s="10"/>
      <c r="U33" s="10"/>
      <c r="V33" s="10"/>
      <c r="W33" s="10"/>
      <c r="X33" s="10"/>
      <c r="Y33" s="10"/>
      <c r="Z33" s="10"/>
    </row>
    <row r="34" ht="15.75" customHeight="1" spans="7:26">
      <c r="G34" s="10"/>
      <c r="H34" s="10"/>
      <c r="I34" s="10"/>
      <c r="J34" s="10"/>
      <c r="K34" s="10"/>
      <c r="L34" s="10"/>
      <c r="M34" s="10"/>
      <c r="N34" s="10"/>
      <c r="O34" s="10"/>
      <c r="P34" s="10"/>
      <c r="Q34" s="10"/>
      <c r="R34" s="10"/>
      <c r="S34" s="10"/>
      <c r="T34" s="10"/>
      <c r="U34" s="10"/>
      <c r="V34" s="10"/>
      <c r="W34" s="10"/>
      <c r="X34" s="10"/>
      <c r="Y34" s="10"/>
      <c r="Z34" s="10"/>
    </row>
    <row r="35" ht="15.75" customHeight="1" spans="7:26">
      <c r="G35" s="10"/>
      <c r="H35" s="10"/>
      <c r="I35" s="10"/>
      <c r="J35" s="10"/>
      <c r="K35" s="10"/>
      <c r="L35" s="10"/>
      <c r="M35" s="10"/>
      <c r="N35" s="10"/>
      <c r="O35" s="10"/>
      <c r="P35" s="10"/>
      <c r="Q35" s="10"/>
      <c r="R35" s="10"/>
      <c r="S35" s="10"/>
      <c r="T35" s="10"/>
      <c r="U35" s="10"/>
      <c r="V35" s="10"/>
      <c r="W35" s="10"/>
      <c r="X35" s="10"/>
      <c r="Y35" s="10"/>
      <c r="Z35" s="10"/>
    </row>
    <row r="36" ht="15.75" customHeight="1" spans="2:26">
      <c r="B36" s="10"/>
      <c r="C36" s="10"/>
      <c r="E36" s="10"/>
      <c r="F36" s="10"/>
      <c r="I36" s="10"/>
      <c r="J36" s="10"/>
      <c r="K36" s="10"/>
      <c r="L36" s="10"/>
      <c r="M36" s="10"/>
      <c r="N36" s="10"/>
      <c r="O36" s="10"/>
      <c r="P36" s="10"/>
      <c r="Q36" s="10"/>
      <c r="R36" s="10"/>
      <c r="S36" s="10"/>
      <c r="T36" s="10"/>
      <c r="U36" s="10"/>
      <c r="V36" s="10"/>
      <c r="W36" s="10"/>
      <c r="X36" s="10"/>
      <c r="Y36" s="10"/>
      <c r="Z36" s="10"/>
    </row>
    <row r="37" ht="15.75" customHeight="1" spans="1:26">
      <c r="A37" s="28" t="s">
        <v>139</v>
      </c>
      <c r="B37" s="28"/>
      <c r="C37" s="28"/>
      <c r="D37" s="28"/>
      <c r="E37" s="28"/>
      <c r="F37" s="28"/>
      <c r="I37" s="10"/>
      <c r="J37" s="10"/>
      <c r="K37" s="10"/>
      <c r="L37" s="10"/>
      <c r="M37" s="10"/>
      <c r="N37" s="10"/>
      <c r="O37" s="10"/>
      <c r="P37" s="10"/>
      <c r="Q37" s="10"/>
      <c r="R37" s="10"/>
      <c r="S37" s="10"/>
      <c r="T37" s="10"/>
      <c r="U37" s="10"/>
      <c r="V37" s="10"/>
      <c r="W37" s="10"/>
      <c r="X37" s="10"/>
      <c r="Y37" s="10"/>
      <c r="Z37" s="10"/>
    </row>
    <row r="38" ht="15.75" customHeight="1" spans="1:26">
      <c r="A38" s="13" t="s">
        <v>140</v>
      </c>
      <c r="B38" s="13"/>
      <c r="C38" s="13"/>
      <c r="D38" s="13"/>
      <c r="E38" s="13"/>
      <c r="F38" s="9">
        <f>VLOOKUP(2010,A2:E21,5,FALSE)</f>
        <v>35185</v>
      </c>
      <c r="I38" s="10"/>
      <c r="J38" s="10"/>
      <c r="K38" s="10"/>
      <c r="L38" s="10"/>
      <c r="M38" s="10"/>
      <c r="N38" s="10"/>
      <c r="O38" s="10"/>
      <c r="P38" s="10"/>
      <c r="Q38" s="10"/>
      <c r="R38" s="10"/>
      <c r="S38" s="10"/>
      <c r="T38" s="10"/>
      <c r="U38" s="10"/>
      <c r="V38" s="10"/>
      <c r="W38" s="10"/>
      <c r="X38" s="10"/>
      <c r="Y38" s="10"/>
      <c r="Z38" s="10"/>
    </row>
    <row r="39" ht="15.75" customHeight="1" spans="1:26">
      <c r="A39" s="13" t="s">
        <v>141</v>
      </c>
      <c r="B39" s="13"/>
      <c r="C39" s="13"/>
      <c r="D39" s="13"/>
      <c r="E39" s="13"/>
      <c r="F39" s="9" t="str">
        <f>VLOOKUP(2020,A2:B21,2,FALSE)</f>
        <v>Printer</v>
      </c>
      <c r="I39" s="10"/>
      <c r="J39" s="10"/>
      <c r="K39" s="10"/>
      <c r="L39" s="10"/>
      <c r="M39" s="10"/>
      <c r="N39" s="10"/>
      <c r="O39" s="10"/>
      <c r="P39" s="10"/>
      <c r="Q39" s="10"/>
      <c r="R39" s="10"/>
      <c r="S39" s="10"/>
      <c r="T39" s="10"/>
      <c r="U39" s="10"/>
      <c r="V39" s="10"/>
      <c r="W39" s="10"/>
      <c r="X39" s="10"/>
      <c r="Y39" s="10"/>
      <c r="Z39" s="10"/>
    </row>
    <row r="40" ht="15.75" customHeight="1" spans="2:26">
      <c r="B40" s="10"/>
      <c r="C40" s="10"/>
      <c r="E40" s="10"/>
      <c r="F40" s="10"/>
      <c r="I40" s="10"/>
      <c r="J40" s="10"/>
      <c r="K40" s="10"/>
      <c r="L40" s="10"/>
      <c r="M40" s="10"/>
      <c r="N40" s="10"/>
      <c r="O40" s="10"/>
      <c r="P40" s="10"/>
      <c r="Q40" s="10"/>
      <c r="R40" s="10"/>
      <c r="S40" s="10"/>
      <c r="T40" s="10"/>
      <c r="U40" s="10"/>
      <c r="V40" s="10"/>
      <c r="W40" s="10"/>
      <c r="X40" s="10"/>
      <c r="Y40" s="10"/>
      <c r="Z40" s="10"/>
    </row>
    <row r="41" ht="15.75" customHeight="1" spans="1:26">
      <c r="A41" s="28" t="s">
        <v>142</v>
      </c>
      <c r="B41" s="28"/>
      <c r="C41" s="28"/>
      <c r="D41" s="28"/>
      <c r="E41" s="28"/>
      <c r="F41" s="28"/>
      <c r="I41" s="10"/>
      <c r="J41" s="10"/>
      <c r="K41" s="10"/>
      <c r="L41" s="10"/>
      <c r="M41" s="10"/>
      <c r="N41" s="10"/>
      <c r="O41" s="10"/>
      <c r="P41" s="10"/>
      <c r="Q41" s="10"/>
      <c r="R41" s="10"/>
      <c r="S41" s="10"/>
      <c r="T41" s="10"/>
      <c r="U41" s="10"/>
      <c r="V41" s="10"/>
      <c r="W41" s="10"/>
      <c r="X41" s="10"/>
      <c r="Y41" s="10"/>
      <c r="Z41" s="10"/>
    </row>
    <row r="42" ht="15.75" customHeight="1" spans="1:26">
      <c r="A42" s="13" t="s">
        <v>143</v>
      </c>
      <c r="B42" s="13"/>
      <c r="C42" s="13"/>
      <c r="D42" s="13"/>
      <c r="E42" s="13"/>
      <c r="F42" s="9">
        <f>INDEX(E2:E21,MATCH("Person 5",D2:D21,0))</f>
        <v>43388</v>
      </c>
      <c r="I42" s="10"/>
      <c r="J42" s="10"/>
      <c r="K42" s="10"/>
      <c r="L42" s="10"/>
      <c r="M42" s="10"/>
      <c r="N42" s="10"/>
      <c r="O42" s="10"/>
      <c r="P42" s="10"/>
      <c r="Q42" s="10"/>
      <c r="R42" s="10"/>
      <c r="S42" s="10"/>
      <c r="T42" s="10"/>
      <c r="U42" s="10"/>
      <c r="V42" s="10"/>
      <c r="W42" s="10"/>
      <c r="X42" s="10"/>
      <c r="Y42" s="10"/>
      <c r="Z42" s="10"/>
    </row>
    <row r="43" ht="15.75" customHeight="1" spans="9:26">
      <c r="I43" s="10"/>
      <c r="J43" s="10"/>
      <c r="K43" s="10"/>
      <c r="L43" s="10"/>
      <c r="M43" s="10"/>
      <c r="N43" s="10"/>
      <c r="O43" s="10"/>
      <c r="P43" s="10"/>
      <c r="Q43" s="10"/>
      <c r="R43" s="10"/>
      <c r="S43" s="10"/>
      <c r="T43" s="10"/>
      <c r="U43" s="10"/>
      <c r="V43" s="10"/>
      <c r="W43" s="10"/>
      <c r="X43" s="10"/>
      <c r="Y43" s="10"/>
      <c r="Z43" s="10"/>
    </row>
    <row r="44" ht="15.75" customHeight="1" spans="1:26">
      <c r="A44" s="29" t="s">
        <v>144</v>
      </c>
      <c r="B44" s="30"/>
      <c r="C44" s="30"/>
      <c r="D44" s="30"/>
      <c r="E44" s="30"/>
      <c r="F44" s="31"/>
      <c r="I44" s="10"/>
      <c r="J44" s="10"/>
      <c r="K44" s="10"/>
      <c r="L44" s="10"/>
      <c r="M44" s="10"/>
      <c r="N44" s="10"/>
      <c r="O44" s="10"/>
      <c r="P44" s="10"/>
      <c r="Q44" s="10"/>
      <c r="R44" s="10"/>
      <c r="S44" s="10"/>
      <c r="T44" s="10"/>
      <c r="U44" s="10"/>
      <c r="V44" s="10"/>
      <c r="W44" s="10"/>
      <c r="X44" s="10"/>
      <c r="Y44" s="10"/>
      <c r="Z44" s="10"/>
    </row>
    <row r="45" ht="15.75" customHeight="1" spans="1:26">
      <c r="A45" s="13" t="s">
        <v>145</v>
      </c>
      <c r="B45" s="13"/>
      <c r="C45" s="13"/>
      <c r="D45" s="13"/>
      <c r="E45" s="13"/>
      <c r="F45" s="9">
        <f>_xlfn.XMATCH("Laptop",B2:B21,0)</f>
        <v>13</v>
      </c>
      <c r="I45" s="10"/>
      <c r="J45" s="10"/>
      <c r="K45" s="10"/>
      <c r="L45" s="10"/>
      <c r="M45" s="10"/>
      <c r="N45" s="10"/>
      <c r="O45" s="10"/>
      <c r="P45" s="10"/>
      <c r="Q45" s="10"/>
      <c r="R45" s="10"/>
      <c r="S45" s="10"/>
      <c r="T45" s="10"/>
      <c r="U45" s="10"/>
      <c r="V45" s="10"/>
      <c r="W45" s="10"/>
      <c r="X45" s="10"/>
      <c r="Y45" s="10"/>
      <c r="Z45" s="10"/>
    </row>
    <row r="46" ht="15.75" customHeight="1" spans="2:26">
      <c r="B46" s="10"/>
      <c r="C46" s="10"/>
      <c r="E46" s="10"/>
      <c r="F46" s="10"/>
      <c r="I46" s="10"/>
      <c r="J46" s="10"/>
      <c r="K46" s="10"/>
      <c r="L46" s="10"/>
      <c r="M46" s="10"/>
      <c r="N46" s="10"/>
      <c r="O46" s="10"/>
      <c r="P46" s="10"/>
      <c r="Q46" s="10"/>
      <c r="R46" s="10"/>
      <c r="S46" s="10"/>
      <c r="T46" s="10"/>
      <c r="U46" s="10"/>
      <c r="V46" s="10"/>
      <c r="W46" s="10"/>
      <c r="X46" s="10"/>
      <c r="Y46" s="10"/>
      <c r="Z46" s="10"/>
    </row>
    <row r="47" ht="15.75" customHeight="1" spans="9:26">
      <c r="I47" s="10"/>
      <c r="J47" s="10"/>
      <c r="K47" s="10"/>
      <c r="L47" s="10"/>
      <c r="M47" s="10"/>
      <c r="N47" s="10"/>
      <c r="O47" s="10"/>
      <c r="P47" s="10"/>
      <c r="Q47" s="10"/>
      <c r="R47" s="10"/>
      <c r="S47" s="10"/>
      <c r="T47" s="10"/>
      <c r="U47" s="10"/>
      <c r="V47" s="10"/>
      <c r="W47" s="10"/>
      <c r="X47" s="10"/>
      <c r="Y47" s="10"/>
      <c r="Z47" s="10"/>
    </row>
    <row r="48" ht="15.75" customHeight="1" spans="1:26">
      <c r="A48" s="10"/>
      <c r="B48" s="10"/>
      <c r="C48" s="10"/>
      <c r="D48" s="10"/>
      <c r="E48" s="10"/>
      <c r="F48" s="10"/>
      <c r="I48" s="10"/>
      <c r="J48" s="10"/>
      <c r="K48" s="10"/>
      <c r="L48" s="10"/>
      <c r="M48" s="10"/>
      <c r="N48" s="10"/>
      <c r="O48" s="10"/>
      <c r="P48" s="10"/>
      <c r="Q48" s="10"/>
      <c r="R48" s="10"/>
      <c r="S48" s="10"/>
      <c r="T48" s="10"/>
      <c r="U48" s="10"/>
      <c r="V48" s="10"/>
      <c r="W48" s="10"/>
      <c r="X48" s="10"/>
      <c r="Y48" s="10"/>
      <c r="Z48" s="10"/>
    </row>
    <row r="49" ht="15.75" customHeight="1" spans="1:26">
      <c r="A49" s="10"/>
      <c r="B49" s="10"/>
      <c r="C49" s="10"/>
      <c r="D49" s="10"/>
      <c r="E49" s="10"/>
      <c r="F49" s="10"/>
      <c r="I49" s="10"/>
      <c r="J49" s="10"/>
      <c r="K49" s="10"/>
      <c r="L49" s="10"/>
      <c r="M49" s="10"/>
      <c r="N49" s="10"/>
      <c r="O49" s="10"/>
      <c r="P49" s="10"/>
      <c r="Q49" s="10"/>
      <c r="R49" s="10"/>
      <c r="S49" s="10"/>
      <c r="T49" s="10"/>
      <c r="U49" s="10"/>
      <c r="V49" s="10"/>
      <c r="W49" s="10"/>
      <c r="X49" s="10"/>
      <c r="Y49" s="10"/>
      <c r="Z49" s="10"/>
    </row>
    <row r="50" ht="15.75" customHeight="1" spans="1:2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spans="1:2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spans="1:2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spans="1:26">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spans="1:26">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spans="1:26">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spans="1:2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spans="1:26">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spans="1:26">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spans="1:2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spans="1:26">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spans="1:26">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spans="1:26">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spans="1:26">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spans="1:26">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spans="1:26">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spans="1:2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spans="1:26">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spans="1:26">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spans="1:26">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spans="1:26">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spans="1:26">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spans="1:26">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spans="1:26">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spans="1:26">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spans="1:26">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spans="1:2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spans="1:26">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spans="1:26">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spans="1:26">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spans="1:26">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spans="1:26">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spans="1:26">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spans="1:26">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spans="1:26">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spans="1:26">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spans="1:2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spans="1:26">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spans="1:26">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spans="1:26">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spans="1:26">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spans="1:26">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spans="1:26">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spans="1:26">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spans="1:26">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spans="1:26">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spans="1:2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spans="1:26">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spans="1:26">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spans="1:26">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spans="1:26">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spans="1:26">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spans="1:26">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spans="1:26">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spans="1:26">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spans="1:26">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spans="1:2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spans="1:26">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spans="1:26">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spans="1:26">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spans="1:26">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spans="1:26">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spans="1:26">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spans="1:26">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spans="1:26">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spans="1:26">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spans="1:2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spans="1:26">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spans="1:26">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spans="1:26">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spans="1:26">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spans="1:26">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spans="1:26">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spans="1:26">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spans="1:26">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spans="1:26">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spans="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spans="1:26">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spans="1:26">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spans="1:26">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spans="1:26">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spans="1:26">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spans="1:26">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spans="1:26">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spans="1:26">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spans="1:26">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spans="1:2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spans="1:26">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spans="1:26">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spans="1:26">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spans="1:26">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spans="1:26">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spans="1:26">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spans="1:26">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spans="1:26">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spans="1:26">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spans="1:2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spans="1:26">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spans="1:26">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spans="1:26">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spans="1:26">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spans="1:26">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spans="1:26">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spans="1:26">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spans="1:26">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spans="1:26">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spans="1:2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spans="1:26">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spans="1:26">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spans="1:2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spans="1:26">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spans="1:26">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spans="1:26">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spans="1:26">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spans="1:26">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spans="1:26">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spans="1:26">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spans="1:26">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spans="1:26">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spans="1:2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spans="1:26">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spans="1:26">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spans="1:26">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spans="1:26">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spans="1:26">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spans="1:26">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spans="1:26">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spans="1:26">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spans="1:26">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spans="1:2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spans="1:26">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spans="1:26">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spans="1:26">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spans="1:26">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spans="1:26">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spans="1:26">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spans="1:26">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spans="1:26">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spans="1:26">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spans="1:2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spans="1:26">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spans="1:26">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spans="1:26">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spans="1:26">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spans="1:26">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spans="1:26">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spans="1:26">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spans="1:26">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spans="1:26">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spans="1:2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spans="1:26">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spans="1:26">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spans="1:26">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spans="1:26">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spans="1:26">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spans="1:26">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spans="1:26">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spans="1:26">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spans="1:26">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spans="1:2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spans="1:26">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spans="1:26">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spans="1:26">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spans="1:26">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spans="1:26">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spans="1:26">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spans="1:26">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spans="1:26">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spans="1:26">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spans="1:2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spans="1:26">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spans="1:26">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spans="1:26">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spans="1:26">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spans="1:26">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spans="1:26">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spans="1:26">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spans="1:26">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spans="1:26">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spans="1:2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spans="1:26">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spans="1:26">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spans="1:26">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spans="1:26">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spans="1:26">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spans="1:26">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spans="1:26">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spans="1:26">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spans="1:26">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spans="1: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spans="1:26">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spans="1:26">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spans="1:26">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spans="1:26">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spans="1:26">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spans="1:26">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spans="1:26">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spans="1:26">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spans="1:26">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spans="1:2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spans="1:26">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spans="1:26">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spans="1:26">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spans="1:26">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spans="1:26">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spans="1:26">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spans="1:26">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spans="1:26">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spans="1:26">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spans="1:2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spans="1:26">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spans="1:26">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spans="1:26">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spans="1:26">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spans="1:26">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spans="1:26">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spans="1:26">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spans="1:26">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spans="1:26">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spans="1:2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spans="1:26">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spans="1:26">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spans="1:26">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spans="1:26">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spans="1:26">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spans="1:26">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spans="1:26">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spans="1:26">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spans="1:26">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spans="1:2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spans="1:26">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spans="1:26">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spans="1:26">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spans="1:26">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spans="1:26">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spans="1:26">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spans="1:26">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spans="1:26">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spans="1:26">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spans="1:2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spans="1:26">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spans="1:26">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spans="1:26">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spans="1:26">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spans="1:26">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spans="1:26">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spans="1:26">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spans="1:26">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spans="1:26">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spans="1:2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spans="1:26">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spans="1:26">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spans="1:26">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spans="1:26">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spans="1:26">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spans="1:26">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spans="1:26">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spans="1:26">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spans="1:26">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spans="1:2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spans="1:26">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spans="1:26">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spans="1:26">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spans="1:26">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spans="1:26">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spans="1:26">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spans="1:26">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spans="1:26">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spans="1:26">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spans="1:2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spans="1:26">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spans="1:26">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spans="1:26">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spans="1:26">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spans="1:26">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spans="1:26">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spans="1:26">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spans="1:26">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spans="1:26">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spans="1:2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spans="1:26">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spans="1:26">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spans="1:26">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spans="1:26">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spans="1:26">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spans="1:26">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spans="1:26">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spans="1:26">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spans="1:26">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spans="1: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spans="1:26">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spans="1:26">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spans="1:26">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spans="1:26">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spans="1:26">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spans="1:26">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spans="1:26">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spans="1:26">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spans="1:26">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spans="1:2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spans="1:26">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spans="1:26">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spans="1:26">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spans="1:26">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spans="1:26">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spans="1:26">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spans="1:26">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spans="1:26">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spans="1:26">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spans="1:2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spans="1:26">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spans="1:26">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spans="1:26">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spans="1:26">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spans="1:26">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spans="1:26">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spans="1:26">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spans="1:26">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spans="1:26">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spans="1:2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spans="1:26">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spans="1:26">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spans="1:26">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spans="1:26">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spans="1:26">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spans="1:26">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spans="1:26">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spans="1:26">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spans="1:26">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spans="1:2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spans="1:26">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spans="1:26">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spans="1:26">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spans="1:26">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spans="1:26">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spans="1:26">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spans="1:26">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spans="1:26">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spans="1:26">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spans="1:2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spans="1:26">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spans="1:26">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spans="1:26">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spans="1:26">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spans="1:26">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spans="1:26">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spans="1:26">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spans="1:26">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spans="1:26">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spans="1:2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spans="1:26">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spans="1:26">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spans="1:26">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spans="1:26">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spans="1:26">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spans="1:26">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spans="1:26">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spans="1:26">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spans="1:26">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spans="1:2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spans="1:26">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spans="1:26">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spans="1:26">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spans="1:26">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spans="1:26">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spans="1:26">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spans="1:26">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spans="1:26">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spans="1:26">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spans="1:2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spans="1:26">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spans="1:2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spans="1:26">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spans="1:26">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spans="1:26">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spans="1:26">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spans="1:26">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spans="1:26">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spans="1:26">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spans="1:2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spans="1:26">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spans="1:26">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spans="1:26">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spans="1:26">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spans="1:26">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spans="1:26">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spans="1:26">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spans="1:26">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spans="1:26">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spans="1: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spans="1:26">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spans="1:26">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spans="1:26">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spans="1:26">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spans="1:26">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spans="1:26">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spans="1:26">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spans="1:26">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spans="1:26">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spans="1:2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spans="1:26">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spans="1:26">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spans="1:26">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spans="1:26">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spans="1:26">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spans="1:26">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spans="1:26">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spans="1:26">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spans="1:26">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spans="1:2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spans="1:26">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spans="1:26">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spans="1:26">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spans="1:26">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spans="1:26">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spans="1:26">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spans="1:26">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spans="1:26">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spans="1:26">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spans="1:2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spans="1:26">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spans="1:26">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spans="1:26">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spans="1:26">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spans="1:26">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spans="1:26">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spans="1:26">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spans="1:26">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spans="1:26">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spans="1:2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spans="1:26">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spans="1:26">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spans="1:26">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spans="1:26">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spans="1:26">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spans="1:26">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spans="1:26">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spans="1:26">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spans="1:26">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spans="1:2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spans="1:26">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spans="1:26">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spans="1:26">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spans="1:26">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spans="1:26">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spans="1:26">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spans="1:26">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spans="1:26">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spans="1:26">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spans="1:2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spans="1:26">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spans="1:26">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spans="1:26">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spans="1:26">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spans="1:26">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spans="1:26">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spans="1:26">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spans="1:26">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spans="1:26">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spans="1:2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spans="1:26">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spans="1:26">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spans="1:26">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spans="1:26">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spans="1:26">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spans="1:26">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spans="1:26">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spans="1:26">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spans="1:26">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spans="1:2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spans="1:26">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spans="1:26">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spans="1:26">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spans="1:26">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spans="1:26">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spans="1:26">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spans="1:26">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spans="1:26">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spans="1:26">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spans="1:2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spans="1:26">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spans="1:26">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spans="1:26">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spans="1:26">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spans="1:26">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spans="1:26">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spans="1:26">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spans="1:26">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spans="1:26">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spans="1: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spans="1:26">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spans="1:26">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spans="1:26">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spans="1:26">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spans="1:26">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spans="1:26">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spans="1:26">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spans="1:26">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spans="1:26">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spans="1:2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spans="1:26">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spans="1:26">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spans="1:26">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spans="1:26">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spans="1:26">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spans="1:26">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spans="1:26">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spans="1:26">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spans="1:26">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spans="1:2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spans="1:26">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spans="1:26">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spans="1:26">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spans="1:26">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spans="1:26">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spans="1:26">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spans="1:26">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spans="1:26">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spans="1:26">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spans="1:2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spans="1:26">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spans="1:26">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spans="1:26">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spans="1:26">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spans="1:26">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spans="1:26">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spans="1:26">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spans="1:26">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spans="1:26">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spans="1:2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spans="1:26">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spans="1:26">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spans="1:26">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spans="1:26">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spans="1:26">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spans="1:26">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spans="1:26">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spans="1:26">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spans="1:26">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spans="1:2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spans="1:26">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spans="1:26">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spans="1:26">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spans="1:26">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spans="1:26">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spans="1:26">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spans="1:26">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spans="1:26">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spans="1:26">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spans="1:2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spans="1:26">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spans="1:26">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spans="1:26">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spans="1:26">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spans="1:26">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spans="1:26">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spans="1:26">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spans="1:26">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spans="1:26">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spans="1:2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spans="1:26">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spans="1:26">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spans="1:26">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spans="1:26">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spans="1:26">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spans="1:26">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spans="1:26">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spans="1:26">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spans="1:26">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spans="1:2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spans="1:26">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spans="1:26">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spans="1:26">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spans="1:26">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spans="1:26">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spans="1:26">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spans="1:26">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spans="1:26">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spans="1:26">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spans="1:2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spans="1:26">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spans="1:26">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spans="1:26">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spans="1:26">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spans="1:26">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spans="1:26">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spans="1:26">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spans="1:26">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spans="1:26">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spans="1: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spans="1:26">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spans="1:26">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spans="1:26">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spans="1:26">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spans="1:26">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spans="1:26">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spans="1:26">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spans="1:26">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spans="1:26">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spans="1:2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spans="1:26">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spans="1:26">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spans="1:26">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spans="1:26">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spans="1:26">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spans="1:26">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spans="1:26">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spans="1:26">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spans="1:26">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spans="1:2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spans="1:26">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spans="1:26">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spans="1:26">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spans="1:26">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spans="1:26">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spans="1:26">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spans="1:26">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spans="1:26">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spans="1:26">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spans="1:2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spans="1:26">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spans="1:26">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spans="1:26">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spans="1:26">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spans="1:26">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spans="1:26">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spans="1:26">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spans="1:26">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spans="1:26">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spans="1:2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spans="1:26">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spans="1:26">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spans="1:26">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spans="1:26">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spans="1:26">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spans="1:26">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spans="1:26">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spans="1:26">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spans="1:26">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spans="1:2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spans="1:26">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spans="1:26">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spans="1:26">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spans="1:26">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spans="1:26">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spans="1:26">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spans="1:26">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spans="1:26">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spans="1:26">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spans="1:2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spans="1:26">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spans="1:26">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spans="1:26">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spans="1:26">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spans="1:26">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spans="1:26">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spans="1:26">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spans="1:26">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spans="1:26">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spans="1:2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spans="1:26">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spans="1:26">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spans="1:26">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spans="1:26">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spans="1:26">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spans="1:26">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spans="1:26">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spans="1:26">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spans="1:26">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spans="1:2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spans="1:26">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spans="1:26">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spans="1:26">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spans="1:26">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spans="1:26">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spans="1:26">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spans="1:26">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spans="1:26">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spans="1:26">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spans="1:2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spans="1:26">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spans="1:26">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spans="1:26">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spans="1:26">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spans="1:26">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spans="1:26">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spans="1:26">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spans="1:26">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spans="1:26">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spans="1: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spans="1:26">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spans="1:26">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spans="1:26">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spans="1:26">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spans="1:26">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spans="1:26">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spans="1:26">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spans="1:26">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spans="1:26">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spans="1:2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spans="1:26">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spans="1:26">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spans="1:26">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spans="1:26">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spans="1:26">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spans="1:26">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spans="1:26">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spans="1:26">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spans="1:26">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spans="1:2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spans="1:26">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spans="1:26">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spans="1:26">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spans="1:26">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spans="1:26">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spans="1:26">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spans="1:26">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spans="1:26">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spans="1:26">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spans="1:2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spans="1:26">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spans="1:26">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spans="1:26">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spans="1:26">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spans="1:26">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spans="1:26">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spans="1:26">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spans="1:26">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spans="1:26">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spans="1:2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spans="1:26">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spans="1:26">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spans="1:26">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spans="1:26">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spans="1:26">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spans="1:26">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spans="1:26">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spans="1:26">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spans="1:26">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spans="1:2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spans="1:26">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spans="1:26">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spans="1:26">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spans="1:26">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spans="1:26">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spans="1:26">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spans="1:26">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spans="1:26">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spans="1:26">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spans="1:2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spans="1:26">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spans="1:26">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spans="1:26">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spans="1:26">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spans="1:26">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spans="1:26">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spans="1:26">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spans="1:26">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spans="1:26">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spans="1:2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spans="1:26">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spans="1:26">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spans="1:26">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spans="1:26">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spans="1:26">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spans="1:26">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spans="1:26">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spans="1:26">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spans="1:26">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spans="1:2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spans="1:26">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spans="1:26">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spans="1:26">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spans="1:26">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spans="1:26">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spans="1:26">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spans="1:26">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spans="1:26">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spans="1:26">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spans="1:2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spans="1:26">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spans="1:26">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spans="1:26">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spans="1:26">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spans="1:26">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spans="1:26">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spans="1:26">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spans="1:26">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spans="1:26">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spans="1: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spans="1:26">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spans="1:26">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spans="1:26">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spans="1:26">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spans="1:26">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spans="1:26">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spans="1:26">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spans="1:26">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spans="1:26">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spans="1:2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spans="1:26">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spans="1:26">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spans="1:26">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spans="1:26">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spans="1:26">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spans="1:26">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spans="1:26">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spans="1:26">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spans="1:26">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spans="1:2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spans="1:26">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spans="1:26">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spans="1:26">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spans="1:26">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spans="1:26">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spans="1:26">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spans="1:26">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spans="1:26">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spans="1:26">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spans="1:2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spans="1:26">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spans="1:26">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spans="1:26">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spans="1:26">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spans="1:26">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spans="1:26">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spans="1:26">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spans="1:26">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spans="1:26">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spans="1:2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spans="1:26">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spans="1:26">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spans="1:26">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spans="1:26">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spans="1:26">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spans="1:26">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spans="1:26">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spans="1:26">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spans="1:26">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spans="1:2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spans="1:26">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spans="1:26">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spans="1:26">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spans="1:26">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spans="1:26">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spans="1:26">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spans="1:26">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spans="1:26">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spans="1:26">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spans="1:2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spans="1:26">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spans="1:26">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spans="1:26">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spans="1:26">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spans="1:26">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spans="1:26">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spans="1:26">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spans="1:26">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spans="1:26">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spans="1:2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spans="1:26">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spans="1:26">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spans="7:26">
      <c r="G999" s="10"/>
      <c r="H999" s="10"/>
      <c r="I999" s="10"/>
      <c r="J999" s="10"/>
      <c r="K999" s="10"/>
      <c r="L999" s="10"/>
      <c r="M999" s="10"/>
      <c r="N999" s="10"/>
      <c r="O999" s="10"/>
      <c r="P999" s="10"/>
      <c r="Q999" s="10"/>
      <c r="R999" s="10"/>
      <c r="S999" s="10"/>
      <c r="T999" s="10"/>
      <c r="U999" s="10"/>
      <c r="V999" s="10"/>
      <c r="W999" s="10"/>
      <c r="X999" s="10"/>
      <c r="Y999" s="10"/>
      <c r="Z999" s="10"/>
    </row>
    <row r="1000" ht="15.75" customHeight="1" spans="7:26">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7">
    <mergeCell ref="A25:E25"/>
    <mergeCell ref="A26:E26"/>
    <mergeCell ref="A27:E27"/>
    <mergeCell ref="A28:E28"/>
    <mergeCell ref="A29:E29"/>
    <mergeCell ref="A30:E30"/>
    <mergeCell ref="A31:E31"/>
    <mergeCell ref="A32:E32"/>
    <mergeCell ref="A33:E33"/>
    <mergeCell ref="A37:F37"/>
    <mergeCell ref="A38:E38"/>
    <mergeCell ref="A39:E39"/>
    <mergeCell ref="A41:F41"/>
    <mergeCell ref="A42:E42"/>
    <mergeCell ref="A44:F44"/>
    <mergeCell ref="A45:E45"/>
    <mergeCell ref="A48:E48"/>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topLeftCell="A31" workbookViewId="0">
      <selection activeCell="F4" sqref="F4"/>
    </sheetView>
  </sheetViews>
  <sheetFormatPr defaultColWidth="14.4259259259259" defaultRowHeight="15" customHeight="1"/>
  <cols>
    <col min="1" max="1" width="12" customWidth="1"/>
    <col min="2" max="2" width="12.1388888888889" customWidth="1"/>
    <col min="3" max="3" width="11.712962962963" customWidth="1"/>
    <col min="4" max="4" width="10.8888888888889" customWidth="1"/>
    <col min="5" max="5" width="18.8611111111111" customWidth="1"/>
    <col min="6" max="6" width="16.7777777777778" customWidth="1"/>
    <col min="7" max="7" width="19" customWidth="1"/>
    <col min="8" max="8" width="18.2222222222222" customWidth="1"/>
    <col min="9" max="9" width="18.3333333333333" customWidth="1"/>
    <col min="10" max="10" width="17.1111111111111" customWidth="1"/>
    <col min="11" max="11" width="17.6666666666667" customWidth="1"/>
    <col min="12" max="25" width="8.71296296296296" customWidth="1"/>
  </cols>
  <sheetData>
    <row r="1" ht="14.4" customHeight="1" spans="1:25">
      <c r="A1" s="3" t="s">
        <v>146</v>
      </c>
      <c r="B1" s="3" t="s">
        <v>42</v>
      </c>
      <c r="C1" s="3" t="s">
        <v>147</v>
      </c>
      <c r="D1" s="3" t="s">
        <v>148</v>
      </c>
      <c r="E1" s="3" t="s">
        <v>149</v>
      </c>
      <c r="F1" s="4" t="s">
        <v>150</v>
      </c>
      <c r="G1" s="5" t="s">
        <v>151</v>
      </c>
      <c r="H1" s="5" t="s">
        <v>152</v>
      </c>
      <c r="I1" s="5" t="s">
        <v>153</v>
      </c>
      <c r="J1" s="5" t="s">
        <v>154</v>
      </c>
      <c r="K1" s="17" t="s">
        <v>155</v>
      </c>
      <c r="L1" s="10"/>
      <c r="M1" s="10"/>
      <c r="N1" s="10"/>
      <c r="O1" s="10"/>
      <c r="P1" s="10"/>
      <c r="Q1" s="10"/>
      <c r="R1" s="10"/>
      <c r="S1" s="10"/>
      <c r="T1" s="10"/>
      <c r="U1" s="10"/>
      <c r="V1" s="10"/>
      <c r="W1" s="10"/>
      <c r="X1" s="10"/>
      <c r="Y1" s="10"/>
    </row>
    <row r="2" ht="14.4" customHeight="1" spans="1:25">
      <c r="A2" s="6">
        <v>3001</v>
      </c>
      <c r="B2" s="6" t="s">
        <v>156</v>
      </c>
      <c r="C2" s="6" t="s">
        <v>157</v>
      </c>
      <c r="D2" s="6">
        <v>86766</v>
      </c>
      <c r="E2" s="7">
        <v>42005</v>
      </c>
      <c r="F2" s="8">
        <f ca="1">YEARFRAC(E2,TODAY())</f>
        <v>10.9444444444444</v>
      </c>
      <c r="G2" s="9">
        <f t="shared" ref="G2:G21" si="0">YEAR(E2)</f>
        <v>2015</v>
      </c>
      <c r="H2" s="9" t="str">
        <f t="shared" ref="H2:H21" si="1">TEXT(E2,"MMMM")</f>
        <v>January</v>
      </c>
      <c r="I2" s="9">
        <f ca="1" t="shared" ref="I2:I21" si="2">TODAY()-E2</f>
        <v>3997</v>
      </c>
      <c r="J2" s="9" t="str">
        <f t="shared" ref="J2:J21" si="3">IF(D2&gt;=100000,"High",IF(D2&gt;=60000,"Medium","Low"))</f>
        <v>Medium</v>
      </c>
      <c r="K2" s="9" t="str">
        <f>IF(OR(AND(G2&gt;=5,D2&gt;=70000),D2&gt;=100000),"Yes","No")</f>
        <v>Yes</v>
      </c>
      <c r="L2" s="10"/>
      <c r="M2" s="10"/>
      <c r="N2" s="10"/>
      <c r="O2" s="10"/>
      <c r="P2" s="10"/>
      <c r="Q2" s="10"/>
      <c r="R2" s="10"/>
      <c r="S2" s="10"/>
      <c r="T2" s="10"/>
      <c r="U2" s="10"/>
      <c r="V2" s="10"/>
      <c r="W2" s="10"/>
      <c r="X2" s="10"/>
      <c r="Y2" s="10"/>
    </row>
    <row r="3" ht="14.4" customHeight="1" spans="1:25">
      <c r="A3" s="6">
        <v>3002</v>
      </c>
      <c r="B3" s="6" t="s">
        <v>158</v>
      </c>
      <c r="C3" s="6" t="s">
        <v>157</v>
      </c>
      <c r="D3" s="6">
        <v>31943</v>
      </c>
      <c r="E3" s="7">
        <v>42255</v>
      </c>
      <c r="F3" s="8">
        <f ca="1">YEARFRAC(E3,TODAY())</f>
        <v>10.2583333333333</v>
      </c>
      <c r="G3" s="9">
        <f t="shared" si="0"/>
        <v>2015</v>
      </c>
      <c r="H3" s="9" t="str">
        <f t="shared" si="1"/>
        <v>September</v>
      </c>
      <c r="I3" s="9">
        <f ca="1" t="shared" si="2"/>
        <v>3747</v>
      </c>
      <c r="J3" s="9" t="str">
        <f t="shared" si="3"/>
        <v>Low</v>
      </c>
      <c r="K3" s="9" t="str">
        <f t="shared" ref="K3:K21" si="4">IF(OR(AND(G3&gt;=5,D3&gt;=70000),D3&gt;=100000),"Yes","No")</f>
        <v>No</v>
      </c>
      <c r="L3" s="10"/>
      <c r="M3" s="10"/>
      <c r="N3" s="10"/>
      <c r="O3" s="10"/>
      <c r="P3" s="10"/>
      <c r="Q3" s="10"/>
      <c r="R3" s="10"/>
      <c r="S3" s="10"/>
      <c r="T3" s="10"/>
      <c r="U3" s="10"/>
      <c r="V3" s="10"/>
      <c r="W3" s="10"/>
      <c r="X3" s="10"/>
      <c r="Y3" s="10"/>
    </row>
    <row r="4" ht="14.4" customHeight="1" spans="1:25">
      <c r="A4" s="6">
        <v>3003</v>
      </c>
      <c r="B4" s="6" t="s">
        <v>159</v>
      </c>
      <c r="C4" s="6" t="s">
        <v>160</v>
      </c>
      <c r="D4" s="6">
        <v>63374</v>
      </c>
      <c r="E4" s="7">
        <v>42505</v>
      </c>
      <c r="F4" s="8">
        <f ca="1" t="shared" ref="F2:F21" si="5">YEARFRAC(E4,TODAY())</f>
        <v>9.57222222222222</v>
      </c>
      <c r="G4" s="9">
        <f t="shared" si="0"/>
        <v>2016</v>
      </c>
      <c r="H4" s="9" t="str">
        <f t="shared" si="1"/>
        <v>May</v>
      </c>
      <c r="I4" s="9">
        <f ca="1" t="shared" si="2"/>
        <v>3497</v>
      </c>
      <c r="J4" s="9" t="str">
        <f t="shared" si="3"/>
        <v>Medium</v>
      </c>
      <c r="K4" s="9" t="str">
        <f t="shared" si="4"/>
        <v>No</v>
      </c>
      <c r="L4" s="10"/>
      <c r="M4" s="10"/>
      <c r="N4" s="10"/>
      <c r="O4" s="10"/>
      <c r="P4" s="10"/>
      <c r="Q4" s="10"/>
      <c r="R4" s="10"/>
      <c r="S4" s="10"/>
      <c r="T4" s="10"/>
      <c r="U4" s="10"/>
      <c r="V4" s="10"/>
      <c r="W4" s="10"/>
      <c r="X4" s="10"/>
      <c r="Y4" s="10"/>
    </row>
    <row r="5" ht="14.4" customHeight="1" spans="1:25">
      <c r="A5" s="6">
        <v>3004</v>
      </c>
      <c r="B5" s="6" t="s">
        <v>161</v>
      </c>
      <c r="C5" s="6" t="s">
        <v>157</v>
      </c>
      <c r="D5" s="6">
        <v>109972</v>
      </c>
      <c r="E5" s="7">
        <v>42755</v>
      </c>
      <c r="F5" s="8">
        <f ca="1" t="shared" si="5"/>
        <v>8.89166666666667</v>
      </c>
      <c r="G5" s="9">
        <f t="shared" si="0"/>
        <v>2017</v>
      </c>
      <c r="H5" s="9" t="str">
        <f t="shared" si="1"/>
        <v>January</v>
      </c>
      <c r="I5" s="9">
        <f ca="1" t="shared" si="2"/>
        <v>3247</v>
      </c>
      <c r="J5" s="9" t="str">
        <f t="shared" si="3"/>
        <v>High</v>
      </c>
      <c r="K5" s="9" t="str">
        <f t="shared" si="4"/>
        <v>Yes</v>
      </c>
      <c r="L5" s="10"/>
      <c r="M5" s="10"/>
      <c r="N5" s="10"/>
      <c r="O5" s="10"/>
      <c r="P5" s="10"/>
      <c r="Q5" s="10"/>
      <c r="R5" s="10"/>
      <c r="S5" s="10"/>
      <c r="T5" s="10"/>
      <c r="U5" s="10"/>
      <c r="V5" s="10"/>
      <c r="W5" s="10"/>
      <c r="X5" s="10"/>
      <c r="Y5" s="10"/>
    </row>
    <row r="6" ht="14.4" customHeight="1" spans="1:25">
      <c r="A6" s="6">
        <v>3005</v>
      </c>
      <c r="B6" s="6" t="s">
        <v>162</v>
      </c>
      <c r="C6" s="6" t="s">
        <v>163</v>
      </c>
      <c r="D6" s="6">
        <v>54149</v>
      </c>
      <c r="E6" s="7">
        <v>43005</v>
      </c>
      <c r="F6" s="8">
        <f ca="1" t="shared" si="5"/>
        <v>8.20555555555556</v>
      </c>
      <c r="G6" s="9">
        <f t="shared" si="0"/>
        <v>2017</v>
      </c>
      <c r="H6" s="9" t="str">
        <f t="shared" si="1"/>
        <v>September</v>
      </c>
      <c r="I6" s="9">
        <f ca="1" t="shared" si="2"/>
        <v>2997</v>
      </c>
      <c r="J6" s="9" t="str">
        <f t="shared" si="3"/>
        <v>Low</v>
      </c>
      <c r="K6" s="9" t="str">
        <f t="shared" si="4"/>
        <v>No</v>
      </c>
      <c r="L6" s="10"/>
      <c r="M6" s="10"/>
      <c r="N6" s="10"/>
      <c r="O6" s="10"/>
      <c r="P6" s="10"/>
      <c r="Q6" s="10"/>
      <c r="R6" s="10"/>
      <c r="S6" s="10"/>
      <c r="T6" s="10"/>
      <c r="U6" s="10"/>
      <c r="V6" s="10"/>
      <c r="W6" s="10"/>
      <c r="X6" s="10"/>
      <c r="Y6" s="10"/>
    </row>
    <row r="7" ht="14.4" customHeight="1" spans="1:25">
      <c r="A7" s="6">
        <v>3006</v>
      </c>
      <c r="B7" s="6" t="s">
        <v>164</v>
      </c>
      <c r="C7" s="6" t="s">
        <v>163</v>
      </c>
      <c r="D7" s="6">
        <v>78689</v>
      </c>
      <c r="E7" s="7">
        <v>43255</v>
      </c>
      <c r="F7" s="8">
        <f ca="1" t="shared" si="5"/>
        <v>7.51944444444444</v>
      </c>
      <c r="G7" s="9">
        <f t="shared" si="0"/>
        <v>2018</v>
      </c>
      <c r="H7" s="9" t="str">
        <f t="shared" si="1"/>
        <v>June</v>
      </c>
      <c r="I7" s="9">
        <f ca="1" t="shared" si="2"/>
        <v>2747</v>
      </c>
      <c r="J7" s="9" t="str">
        <f t="shared" si="3"/>
        <v>Medium</v>
      </c>
      <c r="K7" s="9" t="str">
        <f t="shared" si="4"/>
        <v>Yes</v>
      </c>
      <c r="L7" s="10"/>
      <c r="M7" s="10"/>
      <c r="N7" s="10"/>
      <c r="O7" s="10"/>
      <c r="P7" s="10"/>
      <c r="Q7" s="10"/>
      <c r="R7" s="10"/>
      <c r="S7" s="10"/>
      <c r="T7" s="10"/>
      <c r="U7" s="10"/>
      <c r="V7" s="10"/>
      <c r="W7" s="10"/>
      <c r="X7" s="10"/>
      <c r="Y7" s="10"/>
    </row>
    <row r="8" ht="14.4" customHeight="1" spans="1:25">
      <c r="A8" s="6">
        <v>3007</v>
      </c>
      <c r="B8" s="6" t="s">
        <v>165</v>
      </c>
      <c r="C8" s="6" t="s">
        <v>166</v>
      </c>
      <c r="D8" s="6">
        <v>35960</v>
      </c>
      <c r="E8" s="7">
        <v>43505</v>
      </c>
      <c r="F8" s="8">
        <f ca="1" t="shared" si="5"/>
        <v>6.83888888888889</v>
      </c>
      <c r="G8" s="9">
        <f t="shared" si="0"/>
        <v>2019</v>
      </c>
      <c r="H8" s="9" t="str">
        <f t="shared" si="1"/>
        <v>February</v>
      </c>
      <c r="I8" s="9">
        <f ca="1" t="shared" si="2"/>
        <v>2497</v>
      </c>
      <c r="J8" s="9" t="str">
        <f t="shared" si="3"/>
        <v>Low</v>
      </c>
      <c r="K8" s="9" t="str">
        <f t="shared" si="4"/>
        <v>No</v>
      </c>
      <c r="L8" s="10"/>
      <c r="M8" s="10"/>
      <c r="N8" s="10"/>
      <c r="O8" s="10"/>
      <c r="P8" s="10"/>
      <c r="Q8" s="10"/>
      <c r="R8" s="10"/>
      <c r="S8" s="10"/>
      <c r="T8" s="10"/>
      <c r="U8" s="10"/>
      <c r="V8" s="10"/>
      <c r="W8" s="10"/>
      <c r="X8" s="10"/>
      <c r="Y8" s="10"/>
    </row>
    <row r="9" ht="14.4" customHeight="1" spans="1:25">
      <c r="A9" s="6">
        <v>3008</v>
      </c>
      <c r="B9" s="6" t="s">
        <v>167</v>
      </c>
      <c r="C9" s="6" t="s">
        <v>163</v>
      </c>
      <c r="D9" s="6">
        <v>91659</v>
      </c>
      <c r="E9" s="7">
        <v>43755</v>
      </c>
      <c r="F9" s="8">
        <f ca="1" t="shared" si="5"/>
        <v>6.15</v>
      </c>
      <c r="G9" s="9">
        <f t="shared" si="0"/>
        <v>2019</v>
      </c>
      <c r="H9" s="9" t="str">
        <f t="shared" si="1"/>
        <v>October</v>
      </c>
      <c r="I9" s="9">
        <f ca="1" t="shared" si="2"/>
        <v>2247</v>
      </c>
      <c r="J9" s="9" t="str">
        <f t="shared" si="3"/>
        <v>Medium</v>
      </c>
      <c r="K9" s="9" t="str">
        <f t="shared" si="4"/>
        <v>Yes</v>
      </c>
      <c r="L9" s="10"/>
      <c r="M9" s="10"/>
      <c r="N9" s="10"/>
      <c r="O9" s="10"/>
      <c r="P9" s="10"/>
      <c r="Q9" s="10"/>
      <c r="R9" s="10"/>
      <c r="S9" s="10"/>
      <c r="T9" s="10"/>
      <c r="U9" s="10"/>
      <c r="V9" s="10"/>
      <c r="W9" s="10"/>
      <c r="X9" s="10"/>
      <c r="Y9" s="10"/>
    </row>
    <row r="10" ht="14.4" customHeight="1" spans="1:25">
      <c r="A10" s="6">
        <v>3009</v>
      </c>
      <c r="B10" s="6" t="s">
        <v>168</v>
      </c>
      <c r="C10" s="6" t="s">
        <v>163</v>
      </c>
      <c r="D10" s="6">
        <v>90423</v>
      </c>
      <c r="E10" s="7">
        <v>44005</v>
      </c>
      <c r="F10" s="8">
        <f ca="1" t="shared" si="5"/>
        <v>5.46666666666667</v>
      </c>
      <c r="G10" s="9">
        <f t="shared" si="0"/>
        <v>2020</v>
      </c>
      <c r="H10" s="9" t="str">
        <f t="shared" si="1"/>
        <v>June</v>
      </c>
      <c r="I10" s="9">
        <f ca="1" t="shared" si="2"/>
        <v>1997</v>
      </c>
      <c r="J10" s="9" t="str">
        <f t="shared" si="3"/>
        <v>Medium</v>
      </c>
      <c r="K10" s="9" t="str">
        <f t="shared" si="4"/>
        <v>Yes</v>
      </c>
      <c r="L10" s="10"/>
      <c r="M10" s="10"/>
      <c r="N10" s="10"/>
      <c r="O10" s="10"/>
      <c r="P10" s="10"/>
      <c r="Q10" s="10"/>
      <c r="R10" s="10"/>
      <c r="S10" s="10"/>
      <c r="T10" s="10"/>
      <c r="U10" s="10"/>
      <c r="V10" s="10"/>
      <c r="W10" s="10"/>
      <c r="X10" s="10"/>
      <c r="Y10" s="10"/>
    </row>
    <row r="11" ht="14.4" customHeight="1" spans="1:25">
      <c r="A11" s="6">
        <v>3010</v>
      </c>
      <c r="B11" s="6" t="s">
        <v>169</v>
      </c>
      <c r="C11" s="6" t="s">
        <v>160</v>
      </c>
      <c r="D11" s="6">
        <v>107877</v>
      </c>
      <c r="E11" s="7">
        <v>44255</v>
      </c>
      <c r="F11" s="8">
        <f ca="1" t="shared" si="5"/>
        <v>4.78055555555556</v>
      </c>
      <c r="G11" s="9">
        <f t="shared" si="0"/>
        <v>2021</v>
      </c>
      <c r="H11" s="9" t="str">
        <f t="shared" si="1"/>
        <v>February</v>
      </c>
      <c r="I11" s="9">
        <f ca="1" t="shared" si="2"/>
        <v>1747</v>
      </c>
      <c r="J11" s="9" t="str">
        <f t="shared" si="3"/>
        <v>High</v>
      </c>
      <c r="K11" s="9" t="str">
        <f t="shared" si="4"/>
        <v>Yes</v>
      </c>
      <c r="L11" s="10"/>
      <c r="M11" s="10"/>
      <c r="N11" s="10"/>
      <c r="O11" s="10"/>
      <c r="P11" s="10"/>
      <c r="Q11" s="10"/>
      <c r="R11" s="10"/>
      <c r="S11" s="10"/>
      <c r="T11" s="10"/>
      <c r="U11" s="10"/>
      <c r="V11" s="10"/>
      <c r="W11" s="10"/>
      <c r="X11" s="10"/>
      <c r="Y11" s="10"/>
    </row>
    <row r="12" ht="14.4" customHeight="1" spans="1:25">
      <c r="A12" s="6">
        <v>3011</v>
      </c>
      <c r="B12" s="6" t="s">
        <v>170</v>
      </c>
      <c r="C12" s="6" t="s">
        <v>157</v>
      </c>
      <c r="D12" s="6">
        <v>107634</v>
      </c>
      <c r="E12" s="7">
        <v>44505</v>
      </c>
      <c r="F12" s="8">
        <f ca="1" t="shared" si="5"/>
        <v>4.1</v>
      </c>
      <c r="G12" s="9">
        <f t="shared" si="0"/>
        <v>2021</v>
      </c>
      <c r="H12" s="9" t="str">
        <f t="shared" si="1"/>
        <v>November</v>
      </c>
      <c r="I12" s="9">
        <f ca="1" t="shared" si="2"/>
        <v>1497</v>
      </c>
      <c r="J12" s="9" t="str">
        <f t="shared" si="3"/>
        <v>High</v>
      </c>
      <c r="K12" s="9" t="str">
        <f t="shared" si="4"/>
        <v>Yes</v>
      </c>
      <c r="L12" s="10"/>
      <c r="M12" s="10"/>
      <c r="N12" s="10"/>
      <c r="O12" s="10"/>
      <c r="P12" s="10"/>
      <c r="Q12" s="10"/>
      <c r="R12" s="10"/>
      <c r="S12" s="10"/>
      <c r="T12" s="10"/>
      <c r="U12" s="10"/>
      <c r="V12" s="10"/>
      <c r="W12" s="10"/>
      <c r="X12" s="10"/>
      <c r="Y12" s="10"/>
    </row>
    <row r="13" ht="14.4" customHeight="1" spans="1:25">
      <c r="A13" s="6">
        <v>3012</v>
      </c>
      <c r="B13" s="6" t="s">
        <v>171</v>
      </c>
      <c r="C13" s="6" t="s">
        <v>157</v>
      </c>
      <c r="D13" s="6">
        <v>35226</v>
      </c>
      <c r="E13" s="7">
        <v>44755</v>
      </c>
      <c r="F13" s="8">
        <f ca="1" t="shared" si="5"/>
        <v>3.41111111111111</v>
      </c>
      <c r="G13" s="9">
        <f t="shared" si="0"/>
        <v>2022</v>
      </c>
      <c r="H13" s="9" t="str">
        <f t="shared" si="1"/>
        <v>July</v>
      </c>
      <c r="I13" s="9">
        <f ca="1" t="shared" si="2"/>
        <v>1247</v>
      </c>
      <c r="J13" s="9" t="str">
        <f t="shared" si="3"/>
        <v>Low</v>
      </c>
      <c r="K13" s="9" t="str">
        <f t="shared" si="4"/>
        <v>No</v>
      </c>
      <c r="L13" s="10"/>
      <c r="M13" s="10"/>
      <c r="N13" s="10"/>
      <c r="O13" s="10"/>
      <c r="P13" s="10"/>
      <c r="Q13" s="10"/>
      <c r="R13" s="10"/>
      <c r="S13" s="10"/>
      <c r="T13" s="10"/>
      <c r="U13" s="10"/>
      <c r="V13" s="10"/>
      <c r="W13" s="10"/>
      <c r="X13" s="10"/>
      <c r="Y13" s="10"/>
    </row>
    <row r="14" ht="14.4" customHeight="1" spans="1:25">
      <c r="A14" s="6">
        <v>3013</v>
      </c>
      <c r="B14" s="6" t="s">
        <v>172</v>
      </c>
      <c r="C14" s="6" t="s">
        <v>160</v>
      </c>
      <c r="D14" s="6">
        <v>40872</v>
      </c>
      <c r="E14" s="7">
        <v>45005</v>
      </c>
      <c r="F14" s="8">
        <f ca="1" t="shared" si="5"/>
        <v>2.725</v>
      </c>
      <c r="G14" s="9">
        <f t="shared" si="0"/>
        <v>2023</v>
      </c>
      <c r="H14" s="9" t="str">
        <f t="shared" si="1"/>
        <v>March</v>
      </c>
      <c r="I14" s="9">
        <f ca="1" t="shared" si="2"/>
        <v>997</v>
      </c>
      <c r="J14" s="9" t="str">
        <f t="shared" si="3"/>
        <v>Low</v>
      </c>
      <c r="K14" s="9" t="str">
        <f t="shared" si="4"/>
        <v>No</v>
      </c>
      <c r="L14" s="10"/>
      <c r="M14" s="10"/>
      <c r="N14" s="10"/>
      <c r="O14" s="10"/>
      <c r="P14" s="10"/>
      <c r="Q14" s="10"/>
      <c r="R14" s="10"/>
      <c r="S14" s="10"/>
      <c r="T14" s="10"/>
      <c r="U14" s="10"/>
      <c r="V14" s="10"/>
      <c r="W14" s="10"/>
      <c r="X14" s="10"/>
      <c r="Y14" s="10"/>
    </row>
    <row r="15" ht="14.4" customHeight="1" spans="1:25">
      <c r="A15" s="6">
        <v>3014</v>
      </c>
      <c r="B15" s="6" t="s">
        <v>173</v>
      </c>
      <c r="C15" s="6" t="s">
        <v>160</v>
      </c>
      <c r="D15" s="6">
        <v>55378</v>
      </c>
      <c r="E15" s="7">
        <v>45255</v>
      </c>
      <c r="F15" s="8">
        <f ca="1" t="shared" si="5"/>
        <v>2.04444444444444</v>
      </c>
      <c r="G15" s="9">
        <f t="shared" si="0"/>
        <v>2023</v>
      </c>
      <c r="H15" s="9" t="str">
        <f t="shared" si="1"/>
        <v>November</v>
      </c>
      <c r="I15" s="9">
        <f ca="1" t="shared" si="2"/>
        <v>747</v>
      </c>
      <c r="J15" s="9" t="str">
        <f t="shared" si="3"/>
        <v>Low</v>
      </c>
      <c r="K15" s="9" t="str">
        <f t="shared" si="4"/>
        <v>No</v>
      </c>
      <c r="L15" s="10"/>
      <c r="M15" s="10"/>
      <c r="N15" s="10"/>
      <c r="O15" s="10"/>
      <c r="P15" s="10"/>
      <c r="Q15" s="10"/>
      <c r="R15" s="10"/>
      <c r="S15" s="10"/>
      <c r="T15" s="10"/>
      <c r="U15" s="10"/>
      <c r="V15" s="10"/>
      <c r="W15" s="10"/>
      <c r="X15" s="10"/>
      <c r="Y15" s="10"/>
    </row>
    <row r="16" ht="14.4" customHeight="1" spans="1:25">
      <c r="A16" s="6">
        <v>3015</v>
      </c>
      <c r="B16" s="6" t="s">
        <v>174</v>
      </c>
      <c r="C16" s="6" t="s">
        <v>160</v>
      </c>
      <c r="D16" s="6">
        <v>63297</v>
      </c>
      <c r="E16" s="7">
        <v>45505</v>
      </c>
      <c r="F16" s="8">
        <f ca="1" t="shared" si="5"/>
        <v>1.36111111111111</v>
      </c>
      <c r="G16" s="9">
        <f t="shared" si="0"/>
        <v>2024</v>
      </c>
      <c r="H16" s="9" t="str">
        <f t="shared" si="1"/>
        <v>August</v>
      </c>
      <c r="I16" s="9">
        <f ca="1" t="shared" si="2"/>
        <v>497</v>
      </c>
      <c r="J16" s="9" t="str">
        <f t="shared" si="3"/>
        <v>Medium</v>
      </c>
      <c r="K16" s="9" t="str">
        <f t="shared" si="4"/>
        <v>No</v>
      </c>
      <c r="L16" s="10"/>
      <c r="M16" s="10"/>
      <c r="N16" s="10"/>
      <c r="O16" s="10"/>
      <c r="P16" s="10"/>
      <c r="Q16" s="10"/>
      <c r="R16" s="10"/>
      <c r="S16" s="10"/>
      <c r="T16" s="10"/>
      <c r="U16" s="10"/>
      <c r="V16" s="10"/>
      <c r="W16" s="10"/>
      <c r="X16" s="10"/>
      <c r="Y16" s="10"/>
    </row>
    <row r="17" ht="14.4" customHeight="1" spans="1:25">
      <c r="A17" s="6">
        <v>3016</v>
      </c>
      <c r="B17" s="6" t="s">
        <v>175</v>
      </c>
      <c r="C17" s="6" t="s">
        <v>157</v>
      </c>
      <c r="D17" s="6">
        <v>114173</v>
      </c>
      <c r="E17" s="7">
        <v>45755</v>
      </c>
      <c r="F17" s="8">
        <f ca="1" t="shared" si="5"/>
        <v>0.675</v>
      </c>
      <c r="G17" s="9">
        <f t="shared" si="0"/>
        <v>2025</v>
      </c>
      <c r="H17" s="9" t="str">
        <f t="shared" si="1"/>
        <v>April</v>
      </c>
      <c r="I17" s="9">
        <f ca="1" t="shared" si="2"/>
        <v>247</v>
      </c>
      <c r="J17" s="9" t="str">
        <f t="shared" si="3"/>
        <v>High</v>
      </c>
      <c r="K17" s="9" t="str">
        <f t="shared" si="4"/>
        <v>Yes</v>
      </c>
      <c r="L17" s="10"/>
      <c r="M17" s="10"/>
      <c r="N17" s="10"/>
      <c r="O17" s="10"/>
      <c r="P17" s="10"/>
      <c r="Q17" s="10"/>
      <c r="R17" s="10"/>
      <c r="S17" s="10"/>
      <c r="T17" s="10"/>
      <c r="U17" s="10"/>
      <c r="V17" s="10"/>
      <c r="W17" s="10"/>
      <c r="X17" s="10"/>
      <c r="Y17" s="10"/>
    </row>
    <row r="18" ht="14.4" customHeight="1" spans="1:25">
      <c r="A18" s="6">
        <v>3017</v>
      </c>
      <c r="B18" s="6" t="s">
        <v>176</v>
      </c>
      <c r="C18" s="6" t="s">
        <v>160</v>
      </c>
      <c r="D18" s="6">
        <v>86915</v>
      </c>
      <c r="E18" s="7">
        <v>46005</v>
      </c>
      <c r="F18" s="8">
        <f ca="1" t="shared" si="5"/>
        <v>0.00833333333333333</v>
      </c>
      <c r="G18" s="9">
        <f t="shared" si="0"/>
        <v>2025</v>
      </c>
      <c r="H18" s="9" t="str">
        <f t="shared" si="1"/>
        <v>December</v>
      </c>
      <c r="I18" s="9">
        <f ca="1" t="shared" si="2"/>
        <v>-3</v>
      </c>
      <c r="J18" s="9" t="str">
        <f t="shared" si="3"/>
        <v>Medium</v>
      </c>
      <c r="K18" s="9" t="str">
        <f t="shared" si="4"/>
        <v>Yes</v>
      </c>
      <c r="L18" s="10"/>
      <c r="M18" s="10"/>
      <c r="N18" s="10"/>
      <c r="O18" s="10"/>
      <c r="P18" s="10"/>
      <c r="Q18" s="10"/>
      <c r="R18" s="10"/>
      <c r="S18" s="10"/>
      <c r="T18" s="10"/>
      <c r="U18" s="10"/>
      <c r="V18" s="10"/>
      <c r="W18" s="10"/>
      <c r="X18" s="10"/>
      <c r="Y18" s="10"/>
    </row>
    <row r="19" ht="14.4" customHeight="1" spans="1:25">
      <c r="A19" s="6">
        <v>3018</v>
      </c>
      <c r="B19" s="6" t="s">
        <v>177</v>
      </c>
      <c r="C19" s="6" t="s">
        <v>163</v>
      </c>
      <c r="D19" s="6">
        <v>116284</v>
      </c>
      <c r="E19" s="7">
        <v>46255</v>
      </c>
      <c r="F19" s="8">
        <f ca="1" t="shared" si="5"/>
        <v>0.694444444444444</v>
      </c>
      <c r="G19" s="9">
        <f t="shared" si="0"/>
        <v>2026</v>
      </c>
      <c r="H19" s="9" t="str">
        <f t="shared" si="1"/>
        <v>August</v>
      </c>
      <c r="I19" s="9">
        <f ca="1" t="shared" si="2"/>
        <v>-253</v>
      </c>
      <c r="J19" s="9" t="str">
        <f t="shared" si="3"/>
        <v>High</v>
      </c>
      <c r="K19" s="9" t="str">
        <f t="shared" si="4"/>
        <v>Yes</v>
      </c>
      <c r="L19" s="10"/>
      <c r="M19" s="10"/>
      <c r="N19" s="10"/>
      <c r="O19" s="10"/>
      <c r="P19" s="10"/>
      <c r="Q19" s="10"/>
      <c r="R19" s="10"/>
      <c r="S19" s="10"/>
      <c r="T19" s="10"/>
      <c r="U19" s="10"/>
      <c r="V19" s="10"/>
      <c r="W19" s="10"/>
      <c r="X19" s="10"/>
      <c r="Y19" s="10"/>
    </row>
    <row r="20" ht="14.4" customHeight="1" spans="1:25">
      <c r="A20" s="6">
        <v>3019</v>
      </c>
      <c r="B20" s="6" t="s">
        <v>178</v>
      </c>
      <c r="C20" s="6" t="s">
        <v>166</v>
      </c>
      <c r="D20" s="6">
        <v>116283</v>
      </c>
      <c r="E20" s="7">
        <v>46505</v>
      </c>
      <c r="F20" s="8">
        <f ca="1" t="shared" si="5"/>
        <v>1.38055555555556</v>
      </c>
      <c r="G20" s="9">
        <f t="shared" si="0"/>
        <v>2027</v>
      </c>
      <c r="H20" s="9" t="str">
        <f t="shared" si="1"/>
        <v>April</v>
      </c>
      <c r="I20" s="9">
        <f ca="1" t="shared" si="2"/>
        <v>-503</v>
      </c>
      <c r="J20" s="9" t="str">
        <f t="shared" si="3"/>
        <v>High</v>
      </c>
      <c r="K20" s="9" t="str">
        <f t="shared" si="4"/>
        <v>Yes</v>
      </c>
      <c r="L20" s="10"/>
      <c r="M20" s="10"/>
      <c r="N20" s="10"/>
      <c r="O20" s="10"/>
      <c r="P20" s="10"/>
      <c r="Q20" s="10"/>
      <c r="R20" s="10"/>
      <c r="S20" s="10"/>
      <c r="T20" s="10"/>
      <c r="U20" s="10"/>
      <c r="V20" s="10"/>
      <c r="W20" s="10"/>
      <c r="X20" s="10"/>
      <c r="Y20" s="10"/>
    </row>
    <row r="21" ht="15.75" customHeight="1" spans="1:25">
      <c r="A21" s="6">
        <v>3020</v>
      </c>
      <c r="B21" s="6" t="s">
        <v>179</v>
      </c>
      <c r="C21" s="6" t="s">
        <v>166</v>
      </c>
      <c r="D21" s="6">
        <v>99924</v>
      </c>
      <c r="E21" s="7">
        <v>46755</v>
      </c>
      <c r="F21" s="8">
        <f ca="1" t="shared" si="5"/>
        <v>2.06111111111111</v>
      </c>
      <c r="G21" s="9">
        <f t="shared" si="0"/>
        <v>2028</v>
      </c>
      <c r="H21" s="9" t="str">
        <f t="shared" si="1"/>
        <v>January</v>
      </c>
      <c r="I21" s="9">
        <f ca="1" t="shared" si="2"/>
        <v>-753</v>
      </c>
      <c r="J21" s="9" t="str">
        <f t="shared" si="3"/>
        <v>Medium</v>
      </c>
      <c r="K21" s="9" t="str">
        <f t="shared" si="4"/>
        <v>Yes</v>
      </c>
      <c r="L21" s="10"/>
      <c r="M21" s="10"/>
      <c r="N21" s="10"/>
      <c r="O21" s="10"/>
      <c r="P21" s="10"/>
      <c r="Q21" s="10"/>
      <c r="R21" s="10"/>
      <c r="S21" s="10"/>
      <c r="T21" s="10"/>
      <c r="U21" s="10"/>
      <c r="V21" s="10"/>
      <c r="W21" s="10"/>
      <c r="X21" s="10"/>
      <c r="Y21" s="10"/>
    </row>
    <row r="22" ht="15.75" customHeight="1" spans="1:25">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ht="15.75" customHeight="1" spans="1:25">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ht="15.75" customHeight="1" spans="5:25">
      <c r="E24" s="10"/>
      <c r="F24" s="10"/>
      <c r="G24" s="10"/>
      <c r="H24" s="10"/>
      <c r="I24" s="10"/>
      <c r="J24" s="10"/>
      <c r="K24" s="10"/>
      <c r="L24" s="10"/>
      <c r="M24" s="10"/>
      <c r="N24" s="10"/>
      <c r="O24" s="10"/>
      <c r="P24" s="10"/>
      <c r="Q24" s="10"/>
      <c r="R24" s="10"/>
      <c r="S24" s="10"/>
      <c r="T24" s="10"/>
      <c r="U24" s="10"/>
      <c r="V24" s="10"/>
      <c r="W24" s="10"/>
      <c r="X24" s="10"/>
      <c r="Y24" s="10"/>
    </row>
    <row r="25" ht="15.75" customHeight="1" spans="5:25">
      <c r="E25" s="10"/>
      <c r="F25" s="11"/>
      <c r="G25" s="10"/>
      <c r="H25" s="10"/>
      <c r="I25" s="10"/>
      <c r="J25" s="10"/>
      <c r="K25" s="10"/>
      <c r="L25" s="10"/>
      <c r="M25" s="10"/>
      <c r="N25" s="10"/>
      <c r="O25" s="10"/>
      <c r="P25" s="10"/>
      <c r="Q25" s="10"/>
      <c r="R25" s="10"/>
      <c r="S25" s="10"/>
      <c r="T25" s="10"/>
      <c r="U25" s="10"/>
      <c r="V25" s="10"/>
      <c r="W25" s="10"/>
      <c r="X25" s="10"/>
      <c r="Y25" s="10"/>
    </row>
    <row r="26" ht="15.75" customHeight="1" spans="5:25">
      <c r="E26" s="10"/>
      <c r="F26" s="10"/>
      <c r="G26" s="10"/>
      <c r="H26" s="10"/>
      <c r="I26" s="10"/>
      <c r="J26" s="10"/>
      <c r="K26" s="10"/>
      <c r="L26" s="10"/>
      <c r="M26" s="10"/>
      <c r="N26" s="10"/>
      <c r="O26" s="10"/>
      <c r="P26" s="10"/>
      <c r="Q26" s="10"/>
      <c r="R26" s="10"/>
      <c r="S26" s="10"/>
      <c r="T26" s="10"/>
      <c r="U26" s="10"/>
      <c r="V26" s="10"/>
      <c r="W26" s="10"/>
      <c r="X26" s="10"/>
      <c r="Y26" s="10"/>
    </row>
    <row r="27" ht="15.75" customHeight="1" spans="1:25">
      <c r="A27" s="12" t="s">
        <v>180</v>
      </c>
      <c r="B27" s="12"/>
      <c r="C27" s="12"/>
      <c r="D27" s="12"/>
      <c r="E27" s="10"/>
      <c r="G27" s="10"/>
      <c r="H27" s="10"/>
      <c r="I27" s="10"/>
      <c r="J27" s="10"/>
      <c r="K27" s="10"/>
      <c r="L27" s="10"/>
      <c r="M27" s="10"/>
      <c r="N27" s="10"/>
      <c r="O27" s="10"/>
      <c r="P27" s="10"/>
      <c r="Q27" s="10"/>
      <c r="R27" s="10"/>
      <c r="S27" s="10"/>
      <c r="T27" s="10"/>
      <c r="U27" s="10"/>
      <c r="V27" s="10"/>
      <c r="W27" s="10"/>
      <c r="X27" s="10"/>
      <c r="Y27" s="10"/>
    </row>
    <row r="28" ht="15.75" customHeight="1" spans="1:25">
      <c r="A28" s="13" t="s">
        <v>181</v>
      </c>
      <c r="B28" s="13"/>
      <c r="C28" s="13"/>
      <c r="D28" s="9">
        <f>_xlfn.XLOOKUP(3010,A2:A21,D2:D21,"Not Found")</f>
        <v>107877</v>
      </c>
      <c r="E28" s="10"/>
      <c r="G28" s="10"/>
      <c r="I28" s="10"/>
      <c r="J28" s="10"/>
      <c r="K28" s="10"/>
      <c r="L28" s="10"/>
      <c r="M28" s="10"/>
      <c r="N28" s="10"/>
      <c r="O28" s="10"/>
      <c r="P28" s="10"/>
      <c r="Q28" s="10"/>
      <c r="R28" s="10"/>
      <c r="S28" s="10"/>
      <c r="T28" s="10"/>
      <c r="U28" s="10"/>
      <c r="V28" s="10"/>
      <c r="W28" s="10"/>
      <c r="X28" s="10"/>
      <c r="Y28" s="10"/>
    </row>
    <row r="29" ht="15.75" customHeight="1" spans="1:25">
      <c r="A29" s="13" t="s">
        <v>182</v>
      </c>
      <c r="B29" s="13"/>
      <c r="C29" s="13"/>
      <c r="D29" s="9" t="str">
        <f>_xlfn.XLOOKUP(3015,A2:A21,C2:C21,"Not Found")</f>
        <v>HR</v>
      </c>
      <c r="E29" s="10"/>
      <c r="G29" s="10"/>
      <c r="I29" s="10"/>
      <c r="J29" s="10"/>
      <c r="K29" s="10"/>
      <c r="L29" s="10"/>
      <c r="M29" s="10"/>
      <c r="N29" s="10"/>
      <c r="O29" s="10"/>
      <c r="P29" s="10"/>
      <c r="Q29" s="10"/>
      <c r="R29" s="10"/>
      <c r="S29" s="10"/>
      <c r="T29" s="10"/>
      <c r="U29" s="10"/>
      <c r="V29" s="10"/>
      <c r="W29" s="10"/>
      <c r="X29" s="10"/>
      <c r="Y29" s="10"/>
    </row>
    <row r="30" ht="15.75" customHeight="1" spans="5:25">
      <c r="E30" s="10"/>
      <c r="F30" s="10"/>
      <c r="G30" s="10"/>
      <c r="H30" s="10"/>
      <c r="I30" s="10"/>
      <c r="J30" s="10"/>
      <c r="K30" s="10"/>
      <c r="L30" s="10"/>
      <c r="M30" s="10"/>
      <c r="N30" s="10"/>
      <c r="O30" s="10"/>
      <c r="P30" s="10"/>
      <c r="Q30" s="10"/>
      <c r="R30" s="10"/>
      <c r="S30" s="10"/>
      <c r="T30" s="10"/>
      <c r="U30" s="10"/>
      <c r="V30" s="10"/>
      <c r="W30" s="10"/>
      <c r="X30" s="10"/>
      <c r="Y30" s="10"/>
    </row>
    <row r="31" ht="15.75" customHeight="1" spans="1:25">
      <c r="A31" s="12" t="s">
        <v>183</v>
      </c>
      <c r="B31" s="12"/>
      <c r="C31" s="12"/>
      <c r="D31" s="14"/>
      <c r="E31" s="10"/>
      <c r="G31" s="10"/>
      <c r="H31" s="10"/>
      <c r="I31" s="10"/>
      <c r="J31" s="10"/>
      <c r="K31" s="10"/>
      <c r="L31" s="10"/>
      <c r="M31" s="10"/>
      <c r="N31" s="10"/>
      <c r="O31" s="10"/>
      <c r="P31" s="10"/>
      <c r="Q31" s="10"/>
      <c r="R31" s="10"/>
      <c r="S31" s="10"/>
      <c r="T31" s="10"/>
      <c r="U31" s="10"/>
      <c r="V31" s="10"/>
      <c r="W31" s="10"/>
      <c r="X31" s="10"/>
      <c r="Y31" s="10"/>
    </row>
    <row r="32" ht="15.75" customHeight="1" spans="1:25">
      <c r="A32" s="13" t="s">
        <v>184</v>
      </c>
      <c r="B32" s="13"/>
      <c r="C32" s="9">
        <f>AVERAGEIF(C2:C21,"Finance",D2:D21)</f>
        <v>80952.3333333333</v>
      </c>
      <c r="E32" s="10"/>
      <c r="G32" s="10"/>
      <c r="I32" s="10"/>
      <c r="J32" s="10"/>
      <c r="K32" s="10"/>
      <c r="L32" s="10"/>
      <c r="M32" s="10"/>
      <c r="N32" s="10"/>
      <c r="O32" s="10"/>
      <c r="P32" s="10"/>
      <c r="Q32" s="10"/>
      <c r="R32" s="10"/>
      <c r="S32" s="10"/>
      <c r="T32" s="10"/>
      <c r="U32" s="10"/>
      <c r="V32" s="10"/>
      <c r="W32" s="10"/>
      <c r="X32" s="10"/>
      <c r="Y32" s="10"/>
    </row>
    <row r="33" ht="15.75" customHeight="1" spans="1:25">
      <c r="A33" s="13" t="s">
        <v>185</v>
      </c>
      <c r="B33" s="13"/>
      <c r="C33" s="9">
        <f>AVERAGEIF(C2:C21,"IT",D2:D21)</f>
        <v>86240.8</v>
      </c>
      <c r="E33" s="10"/>
      <c r="G33" s="10"/>
      <c r="I33" s="10"/>
      <c r="J33" s="10"/>
      <c r="K33" s="10"/>
      <c r="L33" s="10"/>
      <c r="M33" s="10"/>
      <c r="N33" s="10"/>
      <c r="O33" s="10"/>
      <c r="P33" s="10"/>
      <c r="Q33" s="10"/>
      <c r="R33" s="10"/>
      <c r="S33" s="10"/>
      <c r="T33" s="10"/>
      <c r="U33" s="10"/>
      <c r="V33" s="10"/>
      <c r="W33" s="10"/>
      <c r="X33" s="10"/>
      <c r="Y33" s="10"/>
    </row>
    <row r="34" ht="15.75" customHeight="1" spans="1:25">
      <c r="A34" s="13" t="s">
        <v>186</v>
      </c>
      <c r="B34" s="13"/>
      <c r="C34" s="9">
        <f>AVERAGEIF(C2:C21,"HR",D2:D21)</f>
        <v>69618.8333333333</v>
      </c>
      <c r="E34" s="10"/>
      <c r="F34" s="10"/>
      <c r="G34" s="10"/>
      <c r="I34" s="10"/>
      <c r="J34" s="10"/>
      <c r="K34" s="10"/>
      <c r="L34" s="10"/>
      <c r="M34" s="10"/>
      <c r="N34" s="10"/>
      <c r="O34" s="10"/>
      <c r="P34" s="10"/>
      <c r="Q34" s="10"/>
      <c r="R34" s="10"/>
      <c r="S34" s="10"/>
      <c r="T34" s="10"/>
      <c r="U34" s="10"/>
      <c r="V34" s="10"/>
      <c r="W34" s="10"/>
      <c r="X34" s="10"/>
      <c r="Y34" s="10"/>
    </row>
    <row r="35" ht="15.75" customHeight="1" spans="1:25">
      <c r="A35" s="13" t="s">
        <v>187</v>
      </c>
      <c r="B35" s="13"/>
      <c r="C35" s="9">
        <f>AVERAGEIF(C2:C21,"Marketing",D2:D21)</f>
        <v>84055.6666666667</v>
      </c>
      <c r="E35" s="10"/>
      <c r="F35" s="10"/>
      <c r="G35" s="10"/>
      <c r="I35" s="10"/>
      <c r="J35" s="10"/>
      <c r="K35" s="10"/>
      <c r="L35" s="10"/>
      <c r="M35" s="10"/>
      <c r="N35" s="10"/>
      <c r="O35" s="10"/>
      <c r="P35" s="10"/>
      <c r="Q35" s="10"/>
      <c r="R35" s="10"/>
      <c r="S35" s="10"/>
      <c r="T35" s="10"/>
      <c r="U35" s="10"/>
      <c r="V35" s="10"/>
      <c r="W35" s="10"/>
      <c r="X35" s="10"/>
      <c r="Y35" s="10"/>
    </row>
    <row r="36" ht="15.75" customHeight="1" spans="5:25">
      <c r="E36" s="10"/>
      <c r="F36" s="10"/>
      <c r="G36" s="10"/>
      <c r="H36" s="10"/>
      <c r="I36" s="10"/>
      <c r="J36" s="10"/>
      <c r="K36" s="10"/>
      <c r="L36" s="10"/>
      <c r="M36" s="10"/>
      <c r="N36" s="10"/>
      <c r="O36" s="10"/>
      <c r="P36" s="10"/>
      <c r="Q36" s="10"/>
      <c r="R36" s="10"/>
      <c r="S36" s="10"/>
      <c r="T36" s="10"/>
      <c r="U36" s="10"/>
      <c r="V36" s="10"/>
      <c r="W36" s="10"/>
      <c r="X36" s="10"/>
      <c r="Y36" s="10"/>
    </row>
    <row r="37" ht="15.75" customHeight="1" spans="1:25">
      <c r="A37" s="12" t="s">
        <v>188</v>
      </c>
      <c r="B37" s="12"/>
      <c r="C37" s="12"/>
      <c r="E37" s="10"/>
      <c r="G37" s="10"/>
      <c r="H37" s="10"/>
      <c r="I37" s="10"/>
      <c r="J37" s="10"/>
      <c r="K37" s="10"/>
      <c r="L37" s="10"/>
      <c r="M37" s="10"/>
      <c r="N37" s="10"/>
      <c r="O37" s="10"/>
      <c r="P37" s="10"/>
      <c r="Q37" s="10"/>
      <c r="R37" s="10"/>
      <c r="S37" s="10"/>
      <c r="T37" s="10"/>
      <c r="U37" s="10"/>
      <c r="V37" s="10"/>
      <c r="W37" s="10"/>
      <c r="X37" s="10"/>
      <c r="Y37" s="10"/>
    </row>
    <row r="38" ht="15.75" customHeight="1" spans="1:25">
      <c r="A38" s="13" t="s">
        <v>189</v>
      </c>
      <c r="B38" s="13"/>
      <c r="C38" s="9">
        <f>COUNTIF(C2:C21,"Finance")</f>
        <v>6</v>
      </c>
      <c r="E38" s="10"/>
      <c r="G38" s="10"/>
      <c r="I38" s="10"/>
      <c r="J38" s="10"/>
      <c r="K38" s="10"/>
      <c r="L38" s="10"/>
      <c r="M38" s="10"/>
      <c r="N38" s="10"/>
      <c r="O38" s="10"/>
      <c r="P38" s="10"/>
      <c r="Q38" s="10"/>
      <c r="R38" s="10"/>
      <c r="S38" s="10"/>
      <c r="T38" s="10"/>
      <c r="U38" s="10"/>
      <c r="V38" s="10"/>
      <c r="W38" s="10"/>
      <c r="X38" s="10"/>
      <c r="Y38" s="10"/>
    </row>
    <row r="39" ht="15.75" customHeight="1" spans="1:25">
      <c r="A39" s="13" t="s">
        <v>190</v>
      </c>
      <c r="B39" s="13"/>
      <c r="C39" s="9">
        <f>COUNTIF(C2:C21,"IT")</f>
        <v>5</v>
      </c>
      <c r="E39" s="10"/>
      <c r="G39" s="10"/>
      <c r="I39" s="10"/>
      <c r="J39" s="10"/>
      <c r="K39" s="10"/>
      <c r="L39" s="10"/>
      <c r="M39" s="10"/>
      <c r="N39" s="10"/>
      <c r="O39" s="10"/>
      <c r="P39" s="10"/>
      <c r="Q39" s="10"/>
      <c r="R39" s="10"/>
      <c r="S39" s="10"/>
      <c r="T39" s="10"/>
      <c r="U39" s="10"/>
      <c r="V39" s="10"/>
      <c r="W39" s="10"/>
      <c r="X39" s="10"/>
      <c r="Y39" s="10"/>
    </row>
    <row r="40" ht="15.75" customHeight="1" spans="5:25">
      <c r="E40" s="10"/>
      <c r="F40" s="10"/>
      <c r="G40" s="10"/>
      <c r="H40" s="10"/>
      <c r="I40" s="10"/>
      <c r="J40" s="10"/>
      <c r="K40" s="10"/>
      <c r="L40" s="10"/>
      <c r="M40" s="10"/>
      <c r="N40" s="10"/>
      <c r="O40" s="10"/>
      <c r="P40" s="10"/>
      <c r="Q40" s="10"/>
      <c r="R40" s="10"/>
      <c r="S40" s="10"/>
      <c r="T40" s="10"/>
      <c r="U40" s="10"/>
      <c r="V40" s="10"/>
      <c r="W40" s="10"/>
      <c r="X40" s="10"/>
      <c r="Y40" s="10"/>
    </row>
    <row r="41" ht="15.75" customHeight="1" spans="1:25">
      <c r="A41" s="12" t="s">
        <v>191</v>
      </c>
      <c r="B41" s="12"/>
      <c r="C41" s="12"/>
      <c r="D41" s="12"/>
      <c r="E41" s="12"/>
      <c r="G41" s="10"/>
      <c r="H41" s="10"/>
      <c r="I41" s="10"/>
      <c r="J41" s="10"/>
      <c r="K41" s="10"/>
      <c r="L41" s="10"/>
      <c r="M41" s="10"/>
      <c r="N41" s="10"/>
      <c r="O41" s="10"/>
      <c r="P41" s="10"/>
      <c r="Q41" s="10"/>
      <c r="R41" s="10"/>
      <c r="S41" s="10"/>
      <c r="T41" s="10"/>
      <c r="U41" s="10"/>
      <c r="V41" s="10"/>
      <c r="W41" s="10"/>
      <c r="X41" s="10"/>
      <c r="Y41" s="10"/>
    </row>
    <row r="42" ht="15.75" customHeight="1" spans="1:25">
      <c r="A42" s="13"/>
      <c r="B42" s="13" t="s">
        <v>192</v>
      </c>
      <c r="C42" s="13"/>
      <c r="D42" s="15" t="str">
        <f>UPPER(B2)</f>
        <v>EMPLOYEE 1</v>
      </c>
      <c r="E42" s="15"/>
      <c r="H42" s="10"/>
      <c r="I42" s="10"/>
      <c r="J42" s="10"/>
      <c r="K42" s="10"/>
      <c r="L42" s="10"/>
      <c r="M42" s="10"/>
      <c r="N42" s="10"/>
      <c r="O42" s="10"/>
      <c r="P42" s="10"/>
      <c r="Q42" s="10"/>
      <c r="R42" s="10"/>
      <c r="S42" s="10"/>
      <c r="T42" s="10"/>
      <c r="U42" s="10"/>
      <c r="V42" s="10"/>
      <c r="W42" s="10"/>
      <c r="X42" s="10"/>
      <c r="Y42" s="10"/>
    </row>
    <row r="43" ht="15.75" customHeight="1" spans="1:25">
      <c r="A43" s="13"/>
      <c r="B43" s="13" t="s">
        <v>193</v>
      </c>
      <c r="C43" s="13"/>
      <c r="D43" s="15" t="str">
        <f>LOWER(B2)</f>
        <v>employee 1</v>
      </c>
      <c r="E43" s="15"/>
      <c r="H43" s="10"/>
      <c r="I43" s="10"/>
      <c r="J43" s="10"/>
      <c r="K43" s="10"/>
      <c r="L43" s="10"/>
      <c r="M43" s="10"/>
      <c r="N43" s="10"/>
      <c r="O43" s="10"/>
      <c r="P43" s="10"/>
      <c r="Q43" s="10"/>
      <c r="R43" s="10"/>
      <c r="S43" s="10"/>
      <c r="T43" s="10"/>
      <c r="U43" s="10"/>
      <c r="V43" s="10"/>
      <c r="W43" s="10"/>
      <c r="X43" s="10"/>
      <c r="Y43" s="10"/>
    </row>
    <row r="44" ht="15.75" customHeight="1" spans="5:25">
      <c r="E44" s="10"/>
      <c r="F44" s="10"/>
      <c r="G44" s="10"/>
      <c r="H44" s="10"/>
      <c r="I44" s="10"/>
      <c r="J44" s="10"/>
      <c r="K44" s="10"/>
      <c r="L44" s="10"/>
      <c r="M44" s="10"/>
      <c r="N44" s="10"/>
      <c r="O44" s="10"/>
      <c r="P44" s="10"/>
      <c r="Q44" s="10"/>
      <c r="R44" s="10"/>
      <c r="S44" s="10"/>
      <c r="T44" s="10"/>
      <c r="U44" s="10"/>
      <c r="V44" s="10"/>
      <c r="W44" s="10"/>
      <c r="X44" s="10"/>
      <c r="Y44" s="10"/>
    </row>
    <row r="45" ht="15.75" customHeight="1" spans="1:25">
      <c r="A45" s="5" t="s">
        <v>194</v>
      </c>
      <c r="B45" s="5"/>
      <c r="C45" s="5"/>
      <c r="D45" s="9">
        <f ca="1">INDIRECT("D2")</f>
        <v>86766</v>
      </c>
      <c r="G45" s="10"/>
      <c r="I45" s="10"/>
      <c r="J45" s="10"/>
      <c r="K45" s="10"/>
      <c r="L45" s="10"/>
      <c r="M45" s="10"/>
      <c r="N45" s="10"/>
      <c r="O45" s="10"/>
      <c r="P45" s="10"/>
      <c r="Q45" s="10"/>
      <c r="R45" s="10"/>
      <c r="S45" s="10"/>
      <c r="T45" s="10"/>
      <c r="U45" s="10"/>
      <c r="V45" s="10"/>
      <c r="W45" s="10"/>
      <c r="X45" s="10"/>
      <c r="Y45" s="10"/>
    </row>
    <row r="46" ht="15.75" customHeight="1" spans="5:25">
      <c r="E46" s="10"/>
      <c r="F46" s="10"/>
      <c r="G46" s="10"/>
      <c r="H46" s="10"/>
      <c r="I46" s="10"/>
      <c r="J46" s="10"/>
      <c r="K46" s="10"/>
      <c r="L46" s="10"/>
      <c r="M46" s="10"/>
      <c r="N46" s="10"/>
      <c r="O46" s="10"/>
      <c r="P46" s="10"/>
      <c r="Q46" s="10"/>
      <c r="R46" s="10"/>
      <c r="S46" s="10"/>
      <c r="T46" s="10"/>
      <c r="U46" s="10"/>
      <c r="V46" s="10"/>
      <c r="W46" s="10"/>
      <c r="X46" s="10"/>
      <c r="Y46" s="10"/>
    </row>
    <row r="47" ht="15.75" customHeight="1" spans="1:25">
      <c r="A47" s="12" t="s">
        <v>195</v>
      </c>
      <c r="B47" s="12"/>
      <c r="C47" s="12"/>
      <c r="D47" s="12"/>
      <c r="E47" s="10"/>
      <c r="G47" s="10"/>
      <c r="H47" s="10"/>
      <c r="I47" s="10"/>
      <c r="J47" s="10"/>
      <c r="K47" s="10"/>
      <c r="L47" s="10"/>
      <c r="M47" s="10"/>
      <c r="N47" s="10"/>
      <c r="O47" s="10"/>
      <c r="P47" s="10"/>
      <c r="Q47" s="10"/>
      <c r="R47" s="10"/>
      <c r="S47" s="10"/>
      <c r="T47" s="10"/>
      <c r="U47" s="10"/>
      <c r="V47" s="10"/>
      <c r="W47" s="10"/>
      <c r="X47" s="10"/>
      <c r="Y47" s="10"/>
    </row>
    <row r="48" ht="15.75" customHeight="1" spans="1:25">
      <c r="A48" s="13" t="s">
        <v>196</v>
      </c>
      <c r="B48" s="13"/>
      <c r="C48" s="13"/>
      <c r="D48" s="9">
        <f>ROUND(D2,-3)</f>
        <v>87000</v>
      </c>
      <c r="E48" s="10"/>
      <c r="G48" s="10"/>
      <c r="I48" s="10"/>
      <c r="J48" s="10"/>
      <c r="K48" s="10"/>
      <c r="L48" s="10"/>
      <c r="M48" s="10"/>
      <c r="N48" s="10"/>
      <c r="O48" s="10"/>
      <c r="P48" s="10"/>
      <c r="Q48" s="10"/>
      <c r="R48" s="10"/>
      <c r="S48" s="10"/>
      <c r="T48" s="10"/>
      <c r="U48" s="10"/>
      <c r="V48" s="10"/>
      <c r="W48" s="10"/>
      <c r="X48" s="10"/>
      <c r="Y48" s="10"/>
    </row>
    <row r="49" ht="15.75" customHeight="1" spans="1:25">
      <c r="A49" s="13" t="s">
        <v>197</v>
      </c>
      <c r="B49" s="13"/>
      <c r="C49" s="13"/>
      <c r="D49" s="9">
        <f>CEILING(D2,5000)</f>
        <v>90000</v>
      </c>
      <c r="E49" s="10"/>
      <c r="G49" s="10"/>
      <c r="I49" s="10"/>
      <c r="J49" s="10"/>
      <c r="K49" s="10"/>
      <c r="L49" s="10"/>
      <c r="M49" s="10"/>
      <c r="N49" s="10"/>
      <c r="O49" s="10"/>
      <c r="P49" s="10"/>
      <c r="Q49" s="10"/>
      <c r="R49" s="10"/>
      <c r="S49" s="10"/>
      <c r="T49" s="10"/>
      <c r="U49" s="10"/>
      <c r="V49" s="10"/>
      <c r="W49" s="10"/>
      <c r="X49" s="10"/>
      <c r="Y49" s="10"/>
    </row>
    <row r="50" ht="15.75" customHeight="1" spans="1:25">
      <c r="A50" s="13" t="s">
        <v>198</v>
      </c>
      <c r="B50" s="13"/>
      <c r="C50" s="13"/>
      <c r="D50" s="9">
        <f>FLOOR(D2,1000)</f>
        <v>86000</v>
      </c>
      <c r="E50" s="10"/>
      <c r="G50" s="10"/>
      <c r="I50" s="10"/>
      <c r="J50" s="10"/>
      <c r="K50" s="10"/>
      <c r="L50" s="10"/>
      <c r="M50" s="10"/>
      <c r="N50" s="10"/>
      <c r="O50" s="10"/>
      <c r="P50" s="10"/>
      <c r="Q50" s="10"/>
      <c r="R50" s="10"/>
      <c r="S50" s="10"/>
      <c r="T50" s="10"/>
      <c r="U50" s="10"/>
      <c r="V50" s="10"/>
      <c r="W50" s="10"/>
      <c r="X50" s="10"/>
      <c r="Y50" s="10"/>
    </row>
    <row r="51" ht="15.75" customHeight="1" spans="5:25">
      <c r="E51" s="10"/>
      <c r="F51" s="10"/>
      <c r="G51" s="10"/>
      <c r="H51" s="10"/>
      <c r="I51" s="10"/>
      <c r="J51" s="10"/>
      <c r="K51" s="10"/>
      <c r="L51" s="10"/>
      <c r="M51" s="10"/>
      <c r="N51" s="10"/>
      <c r="O51" s="10"/>
      <c r="P51" s="10"/>
      <c r="Q51" s="10"/>
      <c r="R51" s="10"/>
      <c r="S51" s="10"/>
      <c r="T51" s="10"/>
      <c r="U51" s="10"/>
      <c r="V51" s="10"/>
      <c r="W51" s="10"/>
      <c r="X51" s="10"/>
      <c r="Y51" s="10"/>
    </row>
    <row r="52" ht="15.75" customHeight="1" spans="1:25">
      <c r="A52" s="16"/>
      <c r="B52" s="12" t="s">
        <v>199</v>
      </c>
      <c r="C52" s="16"/>
      <c r="E52" s="10"/>
      <c r="G52" s="10"/>
      <c r="H52" s="10"/>
      <c r="I52" s="10"/>
      <c r="J52" s="10"/>
      <c r="K52" s="10"/>
      <c r="L52" s="10"/>
      <c r="M52" s="10"/>
      <c r="N52" s="10"/>
      <c r="O52" s="10"/>
      <c r="P52" s="10"/>
      <c r="Q52" s="10"/>
      <c r="R52" s="10"/>
      <c r="S52" s="10"/>
      <c r="T52" s="10"/>
      <c r="U52" s="10"/>
      <c r="V52" s="10"/>
      <c r="W52" s="10"/>
      <c r="X52" s="10"/>
      <c r="Y52" s="10"/>
    </row>
    <row r="53" ht="15.75" customHeight="1" spans="1:25">
      <c r="A53" s="13" t="s">
        <v>146</v>
      </c>
      <c r="B53" s="13"/>
      <c r="C53" s="9">
        <f>_xlfn._xlws.FILTER(A2:A21,(D2:D21&gt;100000),"No employees")</f>
        <v>3004</v>
      </c>
      <c r="E53" s="10"/>
      <c r="I53" s="10"/>
      <c r="J53" s="10"/>
      <c r="K53" s="10"/>
      <c r="L53" s="10"/>
      <c r="M53" s="10"/>
      <c r="N53" s="10"/>
      <c r="O53" s="10"/>
      <c r="P53" s="10"/>
      <c r="Q53" s="10"/>
      <c r="R53" s="10"/>
      <c r="S53" s="10"/>
      <c r="T53" s="10"/>
      <c r="U53" s="10"/>
      <c r="V53" s="10"/>
      <c r="W53" s="10"/>
      <c r="X53" s="10"/>
      <c r="Y53" s="10"/>
    </row>
    <row r="54" ht="15.75" customHeight="1" spans="1:25">
      <c r="A54" s="13" t="s">
        <v>42</v>
      </c>
      <c r="B54" s="13"/>
      <c r="C54" s="9" t="str">
        <f>_xlfn._xlws.FILTER(B2:B21,(D2:D21&gt;100000),"N/A")</f>
        <v>Employee 4</v>
      </c>
      <c r="E54" s="10"/>
      <c r="I54" s="10"/>
      <c r="J54" s="10"/>
      <c r="K54" s="10"/>
      <c r="L54" s="10"/>
      <c r="M54" s="10"/>
      <c r="N54" s="10"/>
      <c r="O54" s="10"/>
      <c r="P54" s="10"/>
      <c r="Q54" s="10"/>
      <c r="R54" s="10"/>
      <c r="S54" s="10"/>
      <c r="T54" s="10"/>
      <c r="U54" s="10"/>
      <c r="V54" s="10"/>
      <c r="W54" s="10"/>
      <c r="X54" s="10"/>
      <c r="Y54" s="10"/>
    </row>
    <row r="55" ht="15.75" customHeight="1" spans="1:25">
      <c r="A55" s="13" t="s">
        <v>148</v>
      </c>
      <c r="B55" s="13"/>
      <c r="C55" s="9">
        <f>_xlfn._xlws.FILTER(D2:D21,(D2:D21&gt;100000),"N/A")</f>
        <v>109972</v>
      </c>
      <c r="D55" s="10"/>
      <c r="E55" s="10"/>
      <c r="F55" s="10"/>
      <c r="G55" s="10"/>
      <c r="H55" s="10"/>
      <c r="I55" s="10"/>
      <c r="J55" s="10"/>
      <c r="K55" s="10"/>
      <c r="L55" s="10"/>
      <c r="M55" s="10"/>
      <c r="N55" s="10"/>
      <c r="O55" s="10"/>
      <c r="P55" s="10"/>
      <c r="Q55" s="10"/>
      <c r="R55" s="10"/>
      <c r="S55" s="10"/>
      <c r="T55" s="10"/>
      <c r="U55" s="10"/>
      <c r="V55" s="10"/>
      <c r="W55" s="10"/>
      <c r="X55" s="10"/>
      <c r="Y55" s="10"/>
    </row>
    <row r="56" ht="15.75" customHeight="1" spans="1:25">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ht="15.75" customHeight="1" spans="1:25">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ht="15.75" customHeight="1" spans="1:25">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ht="15.75" customHeight="1" spans="1:25">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ht="15.75" customHeight="1" spans="1:25">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ht="15.75" customHeight="1" spans="1:25">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ht="15.75" customHeight="1" spans="1:25">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ht="15.75" customHeight="1" spans="1:25">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ht="15.75" customHeight="1" spans="1:25">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ht="15.75" customHeight="1" spans="1:25">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ht="15.75" customHeight="1" spans="1:25">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ht="15.75" customHeight="1" spans="1:25">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ht="15.75" customHeight="1" spans="1:25">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ht="15.75" customHeight="1" spans="1:25">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ht="15.75" customHeight="1" spans="1:25">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ht="15.75" customHeight="1" spans="1:25">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ht="15.75" customHeight="1" spans="1:25">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ht="15.75" customHeight="1" spans="1:25">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ht="15.75" customHeight="1" spans="1:25">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ht="15.75" customHeight="1" spans="1:25">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ht="15.75" customHeight="1" spans="1:25">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ht="15.75" customHeight="1" spans="1:25">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ht="15.75" customHeight="1" spans="1:25">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ht="15.75" customHeight="1" spans="1:25">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ht="15.75" customHeight="1" spans="1:25">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ht="15.75" customHeight="1" spans="1:25">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ht="15.75" customHeight="1" spans="1:25">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ht="15.75" customHeight="1" spans="1:25">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ht="15.75" customHeight="1" spans="1:25">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ht="15.75" customHeight="1" spans="1:25">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ht="15.75" customHeight="1" spans="1:25">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ht="15.75" customHeight="1" spans="1:25">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ht="15.75" customHeight="1" spans="1:25">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ht="15.75" customHeight="1" spans="1:25">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ht="15.75" customHeight="1" spans="1:25">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ht="15.75" customHeight="1" spans="1:25">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ht="15.75" customHeight="1" spans="1:25">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ht="15.75" customHeight="1" spans="1:25">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ht="15.75" customHeight="1" spans="1:25">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ht="15.75" customHeight="1" spans="1:25">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ht="15.75" customHeight="1" spans="1:25">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ht="15.75" customHeight="1" spans="1:25">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ht="15.75" customHeight="1" spans="1:25">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ht="15.75" customHeight="1" spans="1:25">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ht="15.75" customHeight="1" spans="1: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ht="15.75" customHeight="1" spans="1: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ht="15.75" customHeight="1" spans="1: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ht="15.75" customHeight="1" spans="1: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ht="15.75" customHeight="1" spans="1: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ht="15.75" customHeight="1" spans="1: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ht="15.75" customHeight="1" spans="1: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ht="15.75" customHeight="1" spans="1: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ht="15.75" customHeight="1" spans="1: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ht="15.75" customHeight="1" spans="1: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ht="15.75" customHeight="1" spans="1: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ht="15.75" customHeight="1" spans="1: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ht="15.75" customHeight="1" spans="1: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ht="15.75" customHeight="1" spans="1: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ht="15.75" customHeight="1" spans="1: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ht="15.75" customHeight="1" spans="1: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ht="15.75" customHeight="1" spans="1: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ht="15.75" customHeight="1" spans="1: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ht="15.75" customHeight="1" spans="1: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ht="15.75" customHeight="1" spans="1: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ht="15.75" customHeight="1" spans="1: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ht="15.75" customHeight="1" spans="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ht="15.75" customHeight="1" spans="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ht="15.75" customHeight="1" spans="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ht="15.75" customHeight="1" spans="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ht="15.75" customHeight="1" spans="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ht="15.75" customHeight="1" spans="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ht="15.75" customHeight="1" spans="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ht="15.75" customHeight="1" spans="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ht="15.75" customHeight="1" spans="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ht="15.75" customHeight="1" spans="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ht="15.75" customHeight="1" spans="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ht="15.75" customHeight="1" spans="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ht="15.75" customHeight="1" spans="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ht="15.75" customHeight="1" spans="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ht="15.75" customHeight="1" spans="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ht="15.75" customHeight="1" spans="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ht="15.75" customHeight="1" spans="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ht="15.75" customHeight="1" spans="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ht="15.75" customHeight="1" spans="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ht="15.75" customHeight="1" spans="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ht="15.75" customHeight="1" spans="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ht="15.75" customHeight="1" spans="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ht="15.75" customHeight="1" spans="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ht="15.75" customHeight="1" spans="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ht="15.75" customHeight="1" spans="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ht="15.75" customHeight="1" spans="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ht="15.75" customHeight="1" spans="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ht="15.75" customHeight="1" spans="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ht="15.75" customHeight="1" spans="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ht="15.75" customHeight="1" spans="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ht="15.75" customHeight="1" spans="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ht="15.75" customHeight="1" spans="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ht="15.75" customHeight="1" spans="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ht="15.75" customHeight="1" spans="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ht="15.75" customHeight="1" spans="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ht="15.75" customHeight="1" spans="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ht="15.75" customHeight="1" spans="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ht="15.75" customHeight="1" spans="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ht="15.75" customHeight="1" spans="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ht="15.75" customHeight="1" spans="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ht="15.75" customHeight="1" spans="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ht="15.75" customHeight="1" spans="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ht="15.75" customHeight="1" spans="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ht="15.75" customHeight="1" spans="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ht="15.75" customHeight="1" spans="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ht="15.75" customHeight="1" spans="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ht="15.75" customHeight="1" spans="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ht="15.75" customHeight="1" spans="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ht="15.75" customHeight="1" spans="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ht="15.75" customHeight="1" spans="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ht="15.75" customHeight="1" spans="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ht="15.75" customHeight="1" spans="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ht="15.75" customHeight="1" spans="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ht="15.75" customHeight="1" spans="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ht="15.75" customHeight="1" spans="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ht="15.75" customHeight="1" spans="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ht="15.75" customHeight="1" spans="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ht="15.75" customHeight="1" spans="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ht="15.75" customHeight="1" spans="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ht="15.75" customHeight="1" spans="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ht="15.75" customHeight="1" spans="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ht="15.75" customHeight="1" spans="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ht="15.75" customHeight="1" spans="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ht="15.75" customHeight="1" spans="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ht="15.75" customHeight="1" spans="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ht="15.75" customHeight="1" spans="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ht="15.75" customHeight="1" spans="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ht="15.75" customHeight="1" spans="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ht="15.75" customHeight="1" spans="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ht="15.75" customHeight="1" spans="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ht="15.75" customHeight="1" spans="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ht="15.75" customHeight="1" spans="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ht="15.75" customHeight="1" spans="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ht="15.75" customHeight="1" spans="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ht="15.75" customHeight="1" spans="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ht="15.75" customHeight="1" spans="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ht="15.75" customHeight="1" spans="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ht="15.75" customHeight="1" spans="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ht="15.75" customHeight="1" spans="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ht="15.75" customHeight="1" spans="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ht="15.75" customHeight="1" spans="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ht="15.75" customHeight="1" spans="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ht="15.75" customHeight="1" spans="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ht="15.75" customHeight="1" spans="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ht="15.75" customHeight="1" spans="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ht="15.75" customHeight="1" spans="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ht="15.75" customHeight="1" spans="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ht="15.75" customHeight="1" spans="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ht="15.75" customHeight="1" spans="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ht="15.75" customHeight="1" spans="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ht="15.75" customHeight="1" spans="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ht="15.75" customHeight="1" spans="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ht="15.75" customHeight="1" spans="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ht="15.75" customHeight="1" spans="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ht="15.75" customHeight="1" spans="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ht="15.75" customHeight="1" spans="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ht="15.75" customHeight="1" spans="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ht="15.75" customHeight="1" spans="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ht="15.75" customHeight="1" spans="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ht="15.75" customHeight="1" spans="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ht="15.75" customHeight="1" spans="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ht="15.75" customHeight="1" spans="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ht="15.75" customHeight="1" spans="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ht="15.75" customHeight="1" spans="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ht="15.75" customHeight="1" spans="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ht="15.75" customHeight="1" spans="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ht="15.75" customHeight="1" spans="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ht="15.75" customHeight="1" spans="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ht="15.75" customHeight="1" spans="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ht="15.75" customHeight="1" spans="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ht="15.75" customHeight="1" spans="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ht="15.75" customHeight="1" spans="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ht="15.75" customHeight="1" spans="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ht="15.75" customHeight="1" spans="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ht="15.75" customHeight="1" spans="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ht="15.75" customHeight="1" spans="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ht="15.75" customHeight="1" spans="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ht="15.75" customHeight="1" spans="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ht="15.75" customHeight="1" spans="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ht="15.75" customHeight="1" spans="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ht="15.75" customHeight="1" spans="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ht="15.75" customHeight="1" spans="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ht="15.75" customHeight="1" spans="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ht="15.75" customHeight="1" spans="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ht="15.75" customHeight="1" spans="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ht="15.75" customHeight="1" spans="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ht="15.75" customHeight="1" spans="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ht="15.75" customHeight="1" spans="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ht="15.75" customHeight="1" spans="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ht="15.75" customHeight="1" spans="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ht="15.75" customHeight="1" spans="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ht="15.75" customHeight="1" spans="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ht="15.75" customHeight="1" spans="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ht="15.75" customHeight="1" spans="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ht="15.75" customHeight="1" spans="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ht="15.75" customHeight="1" spans="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ht="15.75" customHeight="1" spans="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ht="15.75" customHeight="1" spans="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ht="15.75" customHeight="1" spans="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ht="15.75" customHeight="1" spans="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ht="15.75" customHeight="1" spans="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ht="15.75" customHeight="1" spans="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ht="15.75" customHeight="1" spans="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ht="15.75" customHeight="1" spans="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ht="15.75" customHeight="1" spans="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ht="15.75" customHeight="1" spans="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ht="15.75" customHeight="1" spans="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ht="15.75" customHeight="1" spans="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ht="15.75" customHeight="1" spans="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ht="15.75" customHeight="1" spans="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ht="15.75" customHeight="1" spans="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ht="15.75" customHeight="1" spans="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ht="15.75" customHeight="1" spans="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ht="15.75" customHeight="1" spans="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ht="15.75" customHeight="1" spans="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ht="15.75" customHeight="1" spans="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ht="15.75" customHeight="1" spans="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ht="15.75" customHeight="1" spans="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ht="15.75" customHeight="1" spans="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ht="15.75" customHeight="1" spans="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ht="15.75" customHeight="1" spans="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ht="15.75" customHeight="1" spans="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ht="15.75" customHeight="1" spans="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ht="15.75" customHeight="1" spans="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ht="15.75" customHeight="1" spans="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ht="15.75" customHeight="1" spans="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ht="15.75" customHeight="1" spans="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ht="15.75" customHeight="1" spans="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ht="15.75" customHeight="1" spans="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ht="15.75" customHeight="1" spans="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ht="15.75" customHeight="1" spans="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ht="15.75" customHeight="1" spans="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ht="15.75" customHeight="1" spans="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ht="15.75" customHeight="1" spans="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ht="15.75" customHeight="1" spans="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ht="15.75" customHeight="1" spans="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ht="15.75" customHeight="1" spans="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ht="15.75" customHeight="1" spans="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ht="15.75" customHeight="1" spans="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ht="15.75" customHeight="1" spans="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ht="15.75" customHeight="1" spans="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ht="15.75" customHeight="1" spans="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ht="15.75" customHeight="1" spans="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ht="15.75" customHeight="1" spans="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ht="15.75" customHeight="1" spans="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ht="15.75" customHeight="1" spans="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ht="15.75" customHeight="1" spans="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ht="15.75" customHeight="1" spans="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ht="15.75" customHeight="1" spans="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ht="15.75" customHeight="1" spans="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ht="15.75" customHeight="1" spans="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ht="15.75" customHeight="1" spans="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ht="15.75" customHeight="1" spans="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ht="15.75" customHeight="1" spans="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ht="15.75" customHeight="1" spans="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ht="15.75" customHeight="1" spans="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ht="15.75" customHeight="1" spans="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ht="15.75" customHeight="1" spans="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ht="15.75" customHeight="1" spans="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ht="15.75" customHeight="1" spans="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ht="15.75" customHeight="1" spans="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ht="15.75" customHeight="1" spans="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ht="15.75" customHeight="1" spans="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ht="15.75" customHeight="1" spans="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ht="15.75" customHeight="1" spans="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ht="15.75" customHeight="1" spans="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ht="15.75" customHeight="1" spans="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ht="15.75" customHeight="1" spans="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ht="15.75" customHeight="1" spans="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ht="15.75" customHeight="1" spans="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ht="15.75" customHeight="1" spans="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ht="15.75" customHeight="1" spans="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ht="15.75" customHeight="1" spans="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ht="15.75" customHeight="1" spans="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ht="15.75" customHeight="1" spans="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ht="15.75" customHeight="1" spans="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ht="15.75" customHeight="1" spans="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ht="15.75" customHeight="1" spans="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ht="15.75" customHeight="1" spans="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ht="15.75" customHeight="1" spans="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ht="15.75" customHeight="1" spans="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ht="15.75" customHeight="1" spans="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ht="15.75" customHeight="1" spans="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ht="15.75" customHeight="1" spans="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ht="15.75" customHeight="1" spans="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ht="15.75" customHeight="1" spans="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ht="15.75" customHeight="1" spans="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ht="15.75" customHeight="1" spans="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ht="15.75" customHeight="1" spans="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ht="15.75" customHeight="1" spans="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ht="15.75" customHeight="1" spans="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ht="15.75" customHeight="1" spans="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ht="15.75" customHeight="1" spans="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ht="15.75" customHeight="1" spans="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ht="15.75" customHeight="1" spans="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ht="15.75" customHeight="1" spans="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ht="15.75" customHeight="1" spans="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ht="15.75" customHeight="1" spans="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ht="15.75" customHeight="1" spans="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ht="15.75" customHeight="1" spans="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ht="15.75" customHeight="1" spans="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ht="15.75" customHeight="1" spans="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ht="15.75" customHeight="1" spans="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ht="15.75" customHeight="1" spans="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ht="15.75" customHeight="1" spans="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ht="15.75" customHeight="1" spans="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ht="15.75" customHeight="1" spans="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ht="15.75" customHeight="1" spans="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ht="15.75" customHeight="1" spans="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ht="15.75" customHeight="1" spans="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ht="15.75" customHeight="1" spans="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ht="15.75" customHeight="1" spans="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ht="15.75" customHeight="1" spans="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ht="15.75" customHeight="1" spans="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ht="15.75" customHeight="1" spans="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ht="15.75" customHeight="1" spans="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ht="15.75" customHeight="1" spans="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ht="15.75" customHeight="1" spans="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ht="15.75" customHeight="1" spans="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ht="15.75" customHeight="1" spans="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ht="15.75" customHeight="1" spans="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ht="15.75" customHeight="1" spans="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ht="15.75" customHeight="1" spans="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ht="15.75" customHeight="1" spans="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ht="15.75" customHeight="1" spans="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ht="15.75" customHeight="1" spans="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ht="15.75" customHeight="1" spans="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ht="15.75" customHeight="1" spans="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ht="15.75" customHeight="1" spans="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ht="15.75" customHeight="1" spans="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ht="15.75" customHeight="1" spans="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ht="15.75" customHeight="1" spans="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ht="15.75" customHeight="1" spans="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ht="15.75" customHeight="1" spans="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ht="15.75" customHeight="1" spans="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ht="15.75" customHeight="1" spans="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ht="15.75" customHeight="1" spans="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ht="15.75" customHeight="1" spans="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ht="15.75" customHeight="1" spans="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ht="15.75" customHeight="1" spans="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ht="15.75" customHeight="1" spans="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ht="15.75" customHeight="1" spans="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ht="15.75" customHeight="1" spans="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ht="15.75" customHeight="1" spans="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ht="15.75" customHeight="1" spans="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ht="15.75" customHeight="1" spans="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ht="15.75" customHeight="1" spans="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ht="15.75" customHeight="1" spans="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ht="15.75" customHeight="1" spans="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ht="15.75" customHeight="1" spans="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ht="15.75" customHeight="1" spans="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ht="15.75" customHeight="1" spans="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ht="15.75" customHeight="1" spans="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ht="15.75" customHeight="1" spans="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ht="15.75" customHeight="1" spans="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ht="15.75" customHeight="1" spans="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ht="15.75" customHeight="1" spans="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ht="15.75" customHeight="1" spans="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ht="15.75" customHeight="1" spans="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ht="15.75" customHeight="1" spans="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ht="15.75" customHeight="1" spans="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ht="15.75" customHeight="1" spans="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ht="15.75" customHeight="1" spans="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ht="15.75" customHeight="1" spans="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ht="15.75" customHeight="1" spans="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ht="15.75" customHeight="1" spans="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ht="15.75" customHeight="1" spans="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ht="15.75" customHeight="1" spans="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ht="15.75" customHeight="1" spans="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ht="15.75" customHeight="1" spans="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ht="15.75" customHeight="1" spans="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ht="15.75" customHeight="1" spans="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ht="15.75" customHeight="1" spans="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ht="15.75" customHeight="1" spans="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ht="15.75" customHeight="1" spans="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ht="15.75" customHeight="1" spans="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ht="15.75" customHeight="1" spans="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ht="15.75" customHeight="1" spans="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ht="15.75" customHeight="1" spans="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ht="15.75" customHeight="1" spans="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ht="15.75" customHeight="1" spans="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ht="15.75" customHeight="1" spans="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ht="15.75" customHeight="1" spans="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ht="15.75" customHeight="1" spans="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ht="15.75" customHeight="1" spans="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ht="15.75" customHeight="1" spans="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ht="15.75" customHeight="1" spans="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ht="15.75" customHeight="1" spans="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ht="15.75" customHeight="1" spans="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ht="15.75" customHeight="1" spans="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ht="15.75" customHeight="1" spans="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ht="15.75" customHeight="1" spans="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ht="15.75" customHeight="1" spans="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ht="15.75" customHeight="1" spans="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ht="15.75" customHeight="1" spans="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ht="15.75" customHeight="1" spans="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ht="15.75" customHeight="1" spans="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ht="15.75" customHeight="1" spans="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ht="15.75" customHeight="1" spans="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ht="15.75" customHeight="1" spans="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ht="15.75" customHeight="1" spans="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ht="15.75" customHeight="1" spans="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ht="15.75" customHeight="1" spans="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ht="15.75" customHeight="1" spans="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ht="15.75" customHeight="1" spans="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ht="15.75" customHeight="1" spans="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ht="15.75" customHeight="1" spans="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ht="15.75" customHeight="1" spans="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ht="15.75" customHeight="1" spans="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ht="15.75" customHeight="1" spans="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ht="15.75" customHeight="1" spans="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ht="15.75" customHeight="1" spans="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ht="15.75" customHeight="1" spans="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ht="15.75" customHeight="1" spans="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ht="15.75" customHeight="1" spans="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ht="15.75" customHeight="1" spans="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ht="15.75" customHeight="1" spans="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ht="15.75" customHeight="1" spans="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ht="15.75" customHeight="1" spans="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ht="15.75" customHeight="1" spans="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ht="15.75" customHeight="1" spans="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ht="15.75" customHeight="1" spans="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ht="15.75" customHeight="1" spans="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ht="15.75" customHeight="1" spans="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ht="15.75" customHeight="1" spans="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ht="15.75" customHeight="1" spans="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ht="15.75" customHeight="1" spans="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ht="15.75" customHeight="1" spans="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ht="15.75" customHeight="1" spans="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ht="15.75" customHeight="1" spans="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ht="15.75" customHeight="1" spans="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ht="15.75" customHeight="1" spans="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ht="15.75" customHeight="1" spans="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ht="15.75" customHeight="1" spans="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ht="15.75" customHeight="1" spans="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ht="15.75" customHeight="1" spans="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ht="15.75" customHeight="1" spans="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ht="15.75" customHeight="1" spans="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ht="15.75" customHeight="1" spans="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ht="15.75" customHeight="1" spans="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ht="15.75" customHeight="1" spans="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ht="15.75" customHeight="1" spans="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ht="15.75" customHeight="1" spans="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ht="15.75" customHeight="1" spans="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ht="15.75" customHeight="1" spans="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ht="15.75" customHeight="1" spans="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ht="15.75" customHeight="1" spans="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ht="15.75" customHeight="1" spans="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ht="15.75" customHeight="1" spans="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ht="15.75" customHeight="1" spans="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ht="15.75" customHeight="1" spans="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ht="15.75" customHeight="1" spans="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ht="15.75" customHeight="1" spans="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ht="15.75" customHeight="1" spans="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ht="15.75" customHeight="1" spans="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ht="15.75" customHeight="1" spans="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ht="15.75" customHeight="1" spans="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ht="15.75" customHeight="1" spans="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ht="15.75" customHeight="1" spans="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ht="15.75" customHeight="1" spans="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ht="15.75" customHeight="1" spans="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ht="15.75" customHeight="1" spans="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ht="15.75" customHeight="1" spans="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ht="15.75" customHeight="1" spans="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ht="15.75" customHeight="1" spans="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ht="15.75" customHeight="1" spans="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ht="15.75" customHeight="1" spans="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ht="15.75" customHeight="1" spans="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ht="15.75" customHeight="1" spans="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ht="15.75" customHeight="1" spans="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ht="15.75" customHeight="1" spans="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ht="15.75" customHeight="1" spans="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ht="15.75" customHeight="1" spans="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ht="15.75" customHeight="1" spans="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ht="15.75" customHeight="1" spans="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ht="15.75" customHeight="1" spans="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ht="15.75" customHeight="1" spans="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ht="15.75" customHeight="1" spans="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ht="15.75" customHeight="1" spans="1: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ht="15.75" customHeight="1" spans="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ht="15.75" customHeight="1" spans="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ht="15.75" customHeight="1" spans="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ht="15.75" customHeight="1" spans="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ht="15.75" customHeight="1" spans="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ht="15.75" customHeight="1" spans="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ht="15.75" customHeight="1" spans="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ht="15.75" customHeight="1" spans="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ht="15.75" customHeight="1" spans="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ht="15.75" customHeight="1" spans="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ht="15.75" customHeight="1" spans="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ht="15.75" customHeight="1" spans="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ht="15.75" customHeight="1" spans="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ht="15.75" customHeight="1" spans="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ht="15.75" customHeight="1" spans="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ht="15.75" customHeight="1" spans="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ht="15.75" customHeight="1" spans="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ht="15.75" customHeight="1" spans="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ht="15.75" customHeight="1" spans="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ht="15.75" customHeight="1" spans="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ht="15.75" customHeight="1" spans="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ht="15.75" customHeight="1" spans="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ht="15.75" customHeight="1" spans="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ht="15.75" customHeight="1" spans="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ht="15.75" customHeight="1" spans="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ht="15.75" customHeight="1" spans="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ht="15.75" customHeight="1" spans="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ht="15.75" customHeight="1" spans="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ht="15.75" customHeight="1" spans="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ht="15.75" customHeight="1" spans="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ht="15.75" customHeight="1" spans="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ht="15.75" customHeight="1" spans="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ht="15.75" customHeight="1" spans="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ht="15.75" customHeight="1" spans="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ht="15.75" customHeight="1" spans="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ht="15.75" customHeight="1" spans="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ht="15.75" customHeight="1" spans="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ht="15.75" customHeight="1" spans="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ht="15.75" customHeight="1" spans="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ht="15.75" customHeight="1" spans="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ht="15.75" customHeight="1" spans="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ht="15.75" customHeight="1" spans="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ht="15.75" customHeight="1" spans="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ht="15.75" customHeight="1" spans="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ht="15.75" customHeight="1" spans="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ht="15.75" customHeight="1" spans="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ht="15.75" customHeight="1" spans="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ht="15.75" customHeight="1" spans="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ht="15.75" customHeight="1" spans="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ht="15.75" customHeight="1" spans="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ht="15.75" customHeight="1" spans="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ht="15.75" customHeight="1" spans="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ht="15.75" customHeight="1" spans="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ht="15.75" customHeight="1" spans="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ht="15.75" customHeight="1" spans="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ht="15.75" customHeight="1" spans="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ht="15.75" customHeight="1" spans="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ht="15.75" customHeight="1" spans="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ht="15.75" customHeight="1" spans="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ht="15.75" customHeight="1" spans="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ht="15.75" customHeight="1" spans="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ht="15.75" customHeight="1" spans="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ht="15.75" customHeight="1" spans="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ht="15.75" customHeight="1" spans="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ht="15.75" customHeight="1" spans="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ht="15.75" customHeight="1" spans="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ht="15.75" customHeight="1" spans="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ht="15.75" customHeight="1" spans="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ht="15.75" customHeight="1" spans="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ht="15.75" customHeight="1" spans="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ht="15.75" customHeight="1" spans="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ht="15.75" customHeight="1" spans="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ht="15.75" customHeight="1" spans="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ht="15.75" customHeight="1" spans="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ht="15.75" customHeight="1" spans="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ht="15.75" customHeight="1" spans="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ht="15.75" customHeight="1" spans="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ht="15.75" customHeight="1" spans="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ht="15.75" customHeight="1" spans="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ht="15.75" customHeight="1" spans="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ht="15.75" customHeight="1" spans="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ht="15.75" customHeight="1" spans="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ht="15.75" customHeight="1" spans="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ht="15.75" customHeight="1" spans="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ht="15.75" customHeight="1" spans="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ht="15.75" customHeight="1" spans="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ht="15.75" customHeight="1" spans="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ht="15.75" customHeight="1" spans="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ht="15.75" customHeight="1" spans="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ht="15.75" customHeight="1" spans="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ht="15.75" customHeight="1" spans="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ht="15.75" customHeight="1" spans="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ht="15.75" customHeight="1" spans="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ht="15.75" customHeight="1" spans="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ht="15.75" customHeight="1" spans="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ht="15.75" customHeight="1" spans="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ht="15.75" customHeight="1" spans="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ht="15.75" customHeight="1" spans="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ht="15.75" customHeight="1" spans="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ht="15.75" customHeight="1" spans="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ht="15.75" customHeight="1" spans="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ht="15.75" customHeight="1" spans="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ht="15.75" customHeight="1" spans="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ht="15.75" customHeight="1" spans="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ht="15.75" customHeight="1" spans="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ht="15.75" customHeight="1" spans="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ht="15.75" customHeight="1" spans="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ht="15.75" customHeight="1" spans="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ht="15.75" customHeight="1" spans="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ht="15.75" customHeight="1" spans="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ht="15.75" customHeight="1" spans="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ht="15.75" customHeight="1" spans="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ht="15.75" customHeight="1" spans="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ht="15.75" customHeight="1" spans="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ht="15.75" customHeight="1" spans="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ht="15.75" customHeight="1" spans="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ht="15.75" customHeight="1" spans="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ht="15.75" customHeight="1" spans="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ht="15.75" customHeight="1" spans="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ht="15.75" customHeight="1" spans="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ht="15.75" customHeight="1" spans="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ht="15.75" customHeight="1" spans="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ht="15.75" customHeight="1" spans="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ht="15.75" customHeight="1" spans="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ht="15.75" customHeight="1" spans="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ht="15.75" customHeight="1" spans="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ht="15.75" customHeight="1" spans="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ht="15.75" customHeight="1" spans="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ht="15.75" customHeight="1" spans="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ht="15.75" customHeight="1" spans="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ht="15.75" customHeight="1" spans="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ht="15.75" customHeight="1" spans="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ht="15.75" customHeight="1" spans="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ht="15.75" customHeight="1" spans="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ht="15.75" customHeight="1" spans="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ht="15.75" customHeight="1" spans="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ht="15.75" customHeight="1" spans="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ht="15.75" customHeight="1" spans="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ht="15.75" customHeight="1" spans="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ht="15.75" customHeight="1" spans="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ht="15.75" customHeight="1" spans="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ht="15.75" customHeight="1" spans="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ht="15.75" customHeight="1" spans="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ht="15.75" customHeight="1" spans="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ht="15.75" customHeight="1" spans="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ht="15.75" customHeight="1" spans="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ht="15.75" customHeight="1" spans="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ht="15.75" customHeight="1" spans="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ht="15.75" customHeight="1" spans="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ht="15.75" customHeight="1" spans="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ht="15.75" customHeight="1" spans="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ht="15.75" customHeight="1" spans="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ht="15.75" customHeight="1" spans="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ht="15.75" customHeight="1" spans="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ht="15.75" customHeight="1" spans="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ht="15.75" customHeight="1" spans="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ht="15.75" customHeight="1" spans="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ht="15.75" customHeight="1" spans="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ht="15.75" customHeight="1" spans="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ht="15.75" customHeight="1" spans="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ht="15.75" customHeight="1" spans="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ht="15.75" customHeight="1" spans="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ht="15.75" customHeight="1" spans="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ht="15.75" customHeight="1" spans="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ht="15.75" customHeight="1" spans="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ht="15.75" customHeight="1" spans="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ht="15.75" customHeight="1" spans="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ht="15.75" customHeight="1" spans="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ht="15.75" customHeight="1" spans="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ht="15.75" customHeight="1" spans="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ht="15.75" customHeight="1" spans="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ht="15.75" customHeight="1" spans="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ht="15.75" customHeight="1" spans="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ht="15.75" customHeight="1" spans="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ht="15.75" customHeight="1" spans="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ht="15.75" customHeight="1" spans="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ht="15.75" customHeight="1" spans="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ht="15.75" customHeight="1" spans="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ht="15.75" customHeight="1" spans="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ht="15.75" customHeight="1" spans="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ht="15.75" customHeight="1" spans="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ht="15.75" customHeight="1" spans="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ht="15.75" customHeight="1" spans="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ht="15.75" customHeight="1" spans="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ht="15.75" customHeight="1" spans="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ht="15.75" customHeight="1" spans="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ht="15.75" customHeight="1" spans="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ht="15.75" customHeight="1" spans="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ht="15.75" customHeight="1" spans="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ht="15.75" customHeight="1" spans="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ht="15.75" customHeight="1" spans="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ht="15.75" customHeight="1" spans="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ht="15.75" customHeight="1" spans="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ht="15.75" customHeight="1" spans="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ht="15.75" customHeight="1" spans="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ht="15.75" customHeight="1" spans="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ht="15.75" customHeight="1" spans="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ht="15.75" customHeight="1" spans="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ht="15.75" customHeight="1" spans="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ht="15.75" customHeight="1" spans="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ht="15.75" customHeight="1" spans="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ht="15.75" customHeight="1" spans="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ht="15.75" customHeight="1" spans="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ht="15.75" customHeight="1" spans="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ht="15.75" customHeight="1" spans="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ht="15.75" customHeight="1" spans="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ht="15.75" customHeight="1" spans="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ht="15.75" customHeight="1" spans="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ht="15.75" customHeight="1" spans="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ht="15.75" customHeight="1" spans="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ht="15.75" customHeight="1" spans="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ht="15.75" customHeight="1" spans="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ht="15.75" customHeight="1" spans="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ht="15.75" customHeight="1" spans="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ht="15.75" customHeight="1" spans="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ht="15.75" customHeight="1" spans="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ht="15.75" customHeight="1" spans="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ht="15.75" customHeight="1" spans="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ht="15.75" customHeight="1" spans="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ht="15.75" customHeight="1" spans="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ht="15.75" customHeight="1" spans="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ht="15.75" customHeight="1" spans="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ht="15.75" customHeight="1" spans="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ht="15.75" customHeight="1" spans="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ht="15.75" customHeight="1" spans="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ht="15.75" customHeight="1" spans="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ht="15.75" customHeight="1" spans="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ht="15.75" customHeight="1" spans="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ht="15.75" customHeight="1" spans="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ht="15.75" customHeight="1" spans="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ht="15.75" customHeight="1" spans="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ht="15.75" customHeight="1" spans="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ht="15.75" customHeight="1" spans="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ht="15.75" customHeight="1" spans="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ht="15.75" customHeight="1" spans="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ht="15.75" customHeight="1" spans="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ht="15.75" customHeight="1" spans="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ht="15.75" customHeight="1" spans="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ht="15.75" customHeight="1" spans="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ht="15.75" customHeight="1" spans="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ht="15.75" customHeight="1" spans="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ht="15.75" customHeight="1" spans="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ht="15.75" customHeight="1" spans="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ht="15.75" customHeight="1" spans="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ht="15.75" customHeight="1" spans="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ht="15.75" customHeight="1" spans="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ht="15.75" customHeight="1" spans="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ht="15.75" customHeight="1" spans="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ht="15.75" customHeight="1" spans="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ht="15.75" customHeight="1" spans="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ht="15.75" customHeight="1" spans="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ht="15.75" customHeight="1" spans="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ht="15.75" customHeight="1" spans="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ht="15.75" customHeight="1" spans="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ht="15.75" customHeight="1" spans="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ht="15.75" customHeight="1" spans="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ht="15.75" customHeight="1" spans="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ht="15.75" customHeight="1" spans="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ht="15.75" customHeight="1" spans="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ht="15.75" customHeight="1" spans="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ht="15.75" customHeight="1" spans="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ht="15.75" customHeight="1" spans="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ht="15.75" customHeight="1" spans="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ht="15.75" customHeight="1" spans="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ht="15.75" customHeight="1" spans="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ht="15.75" customHeight="1" spans="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ht="15.75" customHeight="1" spans="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ht="15.75" customHeight="1" spans="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ht="15.75" customHeight="1" spans="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ht="15.75" customHeight="1" spans="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ht="15.75" customHeight="1" spans="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ht="15.75" customHeight="1" spans="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ht="15.75" customHeight="1" spans="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ht="15.75" customHeight="1" spans="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ht="15.75" customHeight="1" spans="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ht="15.75" customHeight="1" spans="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ht="15.75" customHeight="1" spans="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ht="15.75" customHeight="1" spans="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ht="15.75" customHeight="1" spans="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ht="15.75" customHeight="1" spans="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ht="15.75" customHeight="1" spans="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ht="15.75" customHeight="1" spans="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ht="15.75" customHeight="1" spans="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ht="15.75" customHeight="1" spans="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ht="15.75" customHeight="1" spans="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ht="15.75" customHeight="1" spans="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ht="15.75" customHeight="1" spans="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ht="15.75" customHeight="1" spans="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ht="15.75" customHeight="1" spans="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ht="15.75" customHeight="1" spans="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ht="15.75" customHeight="1" spans="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ht="15.75" customHeight="1" spans="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ht="15.75" customHeight="1" spans="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ht="15.75" customHeight="1" spans="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ht="15.75" customHeight="1" spans="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ht="15.75" customHeight="1" spans="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ht="15.75" customHeight="1" spans="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ht="15.75" customHeight="1" spans="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ht="15.75" customHeight="1" spans="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ht="15.75" customHeight="1" spans="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ht="15.75" customHeight="1" spans="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ht="15.75" customHeight="1" spans="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ht="15.75" customHeight="1" spans="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ht="15.75" customHeight="1" spans="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ht="15.75" customHeight="1" spans="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ht="15.75" customHeight="1" spans="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ht="15.75" customHeight="1" spans="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ht="15.75" customHeight="1" spans="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ht="15.75" customHeight="1" spans="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ht="15.75" customHeight="1" spans="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ht="15.75" customHeight="1" spans="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ht="15.75" customHeight="1" spans="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ht="15.75" customHeight="1" spans="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ht="15.75" customHeight="1" spans="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ht="15.75" customHeight="1" spans="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ht="15.75" customHeight="1" spans="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ht="15.75" customHeight="1" spans="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ht="15.75" customHeight="1" spans="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ht="15.75" customHeight="1" spans="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ht="15.75" customHeight="1" spans="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ht="15.75" customHeight="1" spans="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ht="15.75" customHeight="1" spans="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ht="15.75" customHeight="1" spans="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ht="15.75" customHeight="1" spans="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ht="15.75" customHeight="1" spans="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ht="15.75" customHeight="1" spans="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ht="15.75" customHeight="1" spans="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ht="15.75" customHeight="1" spans="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ht="15.75" customHeight="1" spans="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ht="15.75" customHeight="1" spans="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ht="15.75" customHeight="1" spans="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ht="15.75" customHeight="1" spans="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ht="15.75" customHeight="1" spans="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ht="15.75" customHeight="1" spans="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ht="15.75" customHeight="1" spans="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ht="15.75" customHeight="1" spans="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ht="15.75" customHeight="1" spans="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ht="15.75" customHeight="1" spans="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ht="15.75" customHeight="1" spans="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ht="15.75" customHeight="1" spans="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ht="15.75" customHeight="1" spans="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ht="15.75" customHeight="1" spans="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ht="15.75" customHeight="1" spans="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ht="15.75" customHeight="1" spans="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ht="15.75" customHeight="1" spans="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ht="15.75" customHeight="1" spans="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ht="15.75" customHeight="1" spans="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ht="15.75" customHeight="1" spans="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ht="15.75" customHeight="1" spans="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ht="15.75" customHeight="1" spans="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ht="15.75" customHeight="1" spans="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ht="15.75" customHeight="1" spans="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ht="15.75" customHeight="1" spans="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ht="15.75" customHeight="1" spans="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ht="15.75" customHeight="1" spans="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ht="15.75" customHeight="1" spans="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ht="15.75" customHeight="1" spans="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ht="15.75" customHeight="1" spans="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ht="15.75" customHeight="1" spans="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ht="15.75" customHeight="1" spans="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ht="15.75" customHeight="1" spans="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ht="15.75" customHeight="1" spans="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ht="15.75" customHeight="1" spans="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ht="15.75" customHeight="1" spans="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ht="15.75" customHeight="1" spans="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ht="15.75" customHeight="1" spans="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ht="15.75" customHeight="1" spans="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ht="15.75" customHeight="1" spans="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ht="15.75" customHeight="1" spans="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ht="15.75" customHeight="1" spans="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ht="15.75" customHeight="1" spans="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ht="15.75" customHeight="1" spans="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ht="15.75" customHeight="1" spans="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ht="15.75" customHeight="1" spans="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ht="15.75" customHeight="1" spans="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ht="15.75" customHeight="1" spans="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ht="15.75" customHeight="1" spans="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ht="15.75" customHeight="1" spans="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ht="15.75" customHeight="1" spans="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ht="15.75" customHeight="1" spans="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ht="15.75" customHeight="1" spans="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ht="15.75" customHeight="1" spans="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ht="15.75" customHeight="1" spans="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ht="15.75" customHeight="1" spans="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ht="15.75" customHeight="1" spans="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ht="15.75" customHeight="1" spans="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ht="15.75" customHeight="1" spans="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ht="15.75" customHeight="1" spans="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ht="15.75" customHeight="1" spans="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ht="15.75" customHeight="1" spans="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ht="15.75" customHeight="1" spans="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ht="15.75" customHeight="1" spans="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ht="15.75" customHeight="1" spans="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ht="15.75" customHeight="1" spans="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ht="15.75" customHeight="1" spans="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ht="15.75" customHeight="1" spans="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ht="15.75" customHeight="1" spans="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ht="15.75" customHeight="1" spans="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ht="15.75" customHeight="1" spans="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ht="15.75" customHeight="1" spans="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ht="15.75" customHeight="1" spans="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ht="15.75" customHeight="1" spans="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ht="15.75" customHeight="1" spans="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ht="15.75" customHeight="1" spans="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ht="15.75" customHeight="1" spans="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ht="15.75" customHeight="1" spans="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ht="15.75" customHeight="1" spans="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ht="15.75" customHeight="1" spans="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ht="15.75" customHeight="1" spans="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ht="15.75" customHeight="1" spans="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ht="15.75" customHeight="1" spans="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ht="15.75" customHeight="1" spans="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ht="15.75" customHeight="1" spans="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ht="15.75" customHeight="1" spans="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ht="15.75" customHeight="1" spans="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ht="15.75" customHeight="1" spans="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ht="15.75" customHeight="1" spans="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ht="15.75" customHeight="1" spans="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ht="15.75" customHeight="1" spans="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ht="15.75" customHeight="1" spans="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ht="15.75" customHeight="1" spans="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ht="15.75" customHeight="1" spans="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ht="15.75" customHeight="1" spans="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ht="15.75" customHeight="1" spans="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ht="15.75" customHeight="1" spans="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ht="15.75" customHeight="1" spans="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ht="15.75" customHeight="1" spans="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ht="15.75" customHeight="1" spans="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ht="15.75" customHeight="1" spans="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ht="15.75" customHeight="1" spans="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ht="15.75" customHeight="1" spans="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ht="15.75" customHeight="1" spans="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ht="15.75" customHeight="1" spans="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ht="15.75" customHeight="1" spans="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ht="15.75" customHeight="1" spans="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ht="15.75" customHeight="1" spans="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ht="15.75" customHeight="1" spans="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ht="15.75" customHeight="1" spans="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ht="15.75" customHeight="1" spans="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ht="15.75" customHeight="1" spans="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ht="15.75" customHeight="1" spans="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ht="15.75" customHeight="1" spans="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ht="15.75" customHeight="1" spans="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ht="15.75" customHeight="1" spans="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ht="15.75" customHeight="1" spans="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ht="15.75" customHeight="1" spans="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ht="15.75" customHeight="1" spans="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ht="15.75" customHeight="1" spans="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ht="15.75" customHeight="1" spans="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ht="15.75" customHeight="1" spans="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ht="15.75" customHeight="1" spans="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ht="15.75" customHeight="1" spans="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ht="15.75" customHeight="1" spans="1: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ht="15.75" customHeight="1" spans="1: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ht="15.75" customHeight="1" spans="1: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ht="15.75" customHeight="1" spans="1: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ht="15.75" customHeight="1" spans="1: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ht="15.75" customHeight="1" spans="1: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ht="15.75" customHeight="1" spans="1: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ht="15.75" customHeight="1" spans="1: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ht="15.75" customHeight="1" spans="1: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sheetData>
  <mergeCells count="22">
    <mergeCell ref="A27:D27"/>
    <mergeCell ref="A28:C28"/>
    <mergeCell ref="A29:C29"/>
    <mergeCell ref="A31:C31"/>
    <mergeCell ref="A32:B32"/>
    <mergeCell ref="A33:B33"/>
    <mergeCell ref="A34:B34"/>
    <mergeCell ref="A35:B35"/>
    <mergeCell ref="A37:C37"/>
    <mergeCell ref="A38:B38"/>
    <mergeCell ref="A39:B39"/>
    <mergeCell ref="A41:E41"/>
    <mergeCell ref="D42:E42"/>
    <mergeCell ref="D43:E43"/>
    <mergeCell ref="A45:C45"/>
    <mergeCell ref="A47:D47"/>
    <mergeCell ref="A48:C48"/>
    <mergeCell ref="A49:C49"/>
    <mergeCell ref="A50:C50"/>
    <mergeCell ref="A53:B53"/>
    <mergeCell ref="A54:B54"/>
    <mergeCell ref="A55:B55"/>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F4" sqref="F4"/>
    </sheetView>
  </sheetViews>
  <sheetFormatPr defaultColWidth="9" defaultRowHeight="14.4" outlineLevelRow="5" outlineLevelCol="5"/>
  <cols>
    <col min="1" max="1" width="20.6666666666667" customWidth="1"/>
    <col min="2" max="2" width="18" customWidth="1"/>
    <col min="3" max="3" width="15.8888888888889" customWidth="1"/>
    <col min="5" max="5" width="17.5555555555556" customWidth="1"/>
    <col min="6" max="6" width="16.1111111111111" customWidth="1"/>
  </cols>
  <sheetData>
    <row r="1" spans="1:5">
      <c r="A1" s="1" t="s">
        <v>200</v>
      </c>
      <c r="B1" s="1" t="s">
        <v>201</v>
      </c>
      <c r="C1" s="1" t="s">
        <v>202</v>
      </c>
      <c r="E1" s="2" t="s">
        <v>203</v>
      </c>
    </row>
    <row r="2" spans="1:6">
      <c r="A2" t="s">
        <v>204</v>
      </c>
      <c r="B2" t="s">
        <v>121</v>
      </c>
      <c r="C2">
        <v>45000</v>
      </c>
      <c r="E2" t="s">
        <v>205</v>
      </c>
      <c r="F2" t="s">
        <v>206</v>
      </c>
    </row>
    <row r="3" spans="1:6">
      <c r="A3" t="s">
        <v>207</v>
      </c>
      <c r="B3" t="s">
        <v>119</v>
      </c>
      <c r="C3">
        <v>15000</v>
      </c>
      <c r="E3" t="s">
        <v>208</v>
      </c>
      <c r="F3" t="str">
        <f>VLOOKUP(F2,A2:C6,2,FALSE)</f>
        <v>Keyboard</v>
      </c>
    </row>
    <row r="4" spans="1:6">
      <c r="A4" t="s">
        <v>206</v>
      </c>
      <c r="B4" t="s">
        <v>101</v>
      </c>
      <c r="C4">
        <v>2500</v>
      </c>
      <c r="E4" t="s">
        <v>209</v>
      </c>
      <c r="F4">
        <f>VLOOKUP(F2,A2:C6,3,FALSE)</f>
        <v>2500</v>
      </c>
    </row>
    <row r="5" spans="1:3">
      <c r="A5" t="s">
        <v>210</v>
      </c>
      <c r="B5" t="s">
        <v>107</v>
      </c>
      <c r="C5">
        <v>800</v>
      </c>
    </row>
    <row r="6" spans="1:3">
      <c r="A6" t="s">
        <v>211</v>
      </c>
      <c r="B6" t="s">
        <v>104</v>
      </c>
      <c r="C6">
        <v>8000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Project Instructions</vt:lpstr>
      <vt:lpstr>Students Grade</vt:lpstr>
      <vt:lpstr>Sales Data</vt:lpstr>
      <vt:lpstr>Employee Data</vt:lpstr>
      <vt:lpstr>Lookup 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NAGAR</cp:lastModifiedBy>
  <dcterms:created xsi:type="dcterms:W3CDTF">2025-12-09T16:16:00Z</dcterms:created>
  <dcterms:modified xsi:type="dcterms:W3CDTF">2025-12-11T18:04:20Z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2057-12.2.0.23149</vt:lpwstr>
  </property>
  <property fmtid="{D5CDD505-2E9C-101B-9397-08002B2CF9AE}" pid="3" name="ICV">
    <vt:lpwstr>A7A8DF07AC374C40970CF0E6D7889F60_13</vt:lpwstr>
  </property>
</Properties>
</file>